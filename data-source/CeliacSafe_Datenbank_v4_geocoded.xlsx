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6" autoFilterDateGrouping="1"/>
  </bookViews>
  <sheets>
    <sheet name="README" sheetId="1" state="visible" r:id="rId1"/>
    <sheet name="lookups" sheetId="2" state="visible" r:id="rId2"/>
    <sheet name="restaurants" sheetId="3" state="visible" r:id="rId3"/>
    <sheet name="delivery_links" sheetId="4" state="visible" r:id="rId4"/>
    <sheet name="reservation_links" sheetId="5" state="visible" r:id="rId5"/>
    <sheet name="submissions" sheetId="6" state="visible" r:id="rId6"/>
    <sheet name="statistics" sheetId="7" state="visible" r:id="rId7"/>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2E7D32"/>
      <sz val="12"/>
    </font>
    <font>
      <name val="Arial"/>
      <family val="2"/>
      <color rgb="FF000000"/>
      <sz val="12"/>
    </font>
    <font>
      <name val="Arial"/>
      <family val="2"/>
      <b val="1"/>
      <color rgb="FFFFFFFF"/>
      <sz val="11"/>
    </font>
    <font>
      <name val="Arial"/>
      <family val="2"/>
      <sz val="10"/>
    </font>
    <font>
      <name val="Arial"/>
      <family val="2"/>
      <b val="1"/>
      <color rgb="FF2E7D32"/>
      <sz val="14"/>
    </font>
    <font>
      <name val="Arial"/>
      <family val="2"/>
      <sz val="11"/>
    </font>
    <font>
      <name val="Arial"/>
      <family val="2"/>
      <b val="1"/>
      <sz val="11"/>
    </font>
    <font>
      <b val="1"/>
    </font>
  </fonts>
  <fills count="4">
    <fill>
      <patternFill/>
    </fill>
    <fill>
      <patternFill patternType="gray125"/>
    </fill>
    <fill>
      <patternFill patternType="solid">
        <fgColor rgb="FF2E7D32"/>
      </patternFill>
    </fill>
    <fill>
      <patternFill patternType="solid">
        <fgColor rgb="FFFFF59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0"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10" defaultColWidth="9.140625" defaultRowHeight="15"/>
  <cols>
    <col width="110" customWidth="1" min="1" max="1"/>
  </cols>
  <sheetData>
    <row r="1" ht="15.75" customHeight="1">
      <c r="A1" s="1" t="inlineStr">
        <is>
          <t>CELIAC SAFE — DATENBANK</t>
        </is>
      </c>
    </row>
    <row r="2">
      <c r="A2" s="2" t="inlineStr">
        <is>
          <t>Stand: 25. April 2026 — Version 1 (initiale Recherche-Befüllung)</t>
        </is>
      </c>
    </row>
    <row r="3">
      <c r="A3" s="2" t="n"/>
    </row>
    <row r="4" ht="15.75" customHeight="1">
      <c r="A4" s="1" t="inlineStr">
        <is>
          <t>ZIEL DER APP</t>
        </is>
      </c>
    </row>
    <row r="5">
      <c r="A5" s="2" t="inlineStr">
        <is>
          <t>Sammlung 100% glutenfreier Restaurants in Spanien (perspektivisch Europa).</t>
        </is>
      </c>
    </row>
    <row r="6">
      <c r="A6" s="2" t="inlineStr">
        <is>
          <t>Jeder Eintrag in 'restaurants' wurde von Stephan &amp; Familie persönlich verifiziert.</t>
        </is>
      </c>
    </row>
    <row r="7">
      <c r="A7" s="2" t="inlineStr">
        <is>
          <t>Vorab-Recherche befindet sich in 'restaurants' mit Status = 'pending_verification'.</t>
        </is>
      </c>
    </row>
    <row r="8">
      <c r="A8" s="2" t="n"/>
    </row>
    <row r="9" ht="15.75" customHeight="1">
      <c r="A9" s="1" t="inlineStr">
        <is>
          <t>WORKFLOW</t>
        </is>
      </c>
    </row>
    <row r="10">
      <c r="A10" s="2" t="inlineStr">
        <is>
          <t>1. Sheet 'restaurants' öffnen — alle Recherche-Kandidaten sind dort eingetragen</t>
        </is>
      </c>
    </row>
    <row r="11">
      <c r="A11" s="2" t="inlineStr">
        <is>
          <t>2. Spalte 'verification_status' = 'pending_verification' = NOCH ZU PRÜFEN (gelb hinterlegt)</t>
        </is>
      </c>
    </row>
    <row r="12">
      <c r="A12" s="2" t="inlineStr">
        <is>
          <t>3. Restaurant kontaktieren / besuchen / Webseite checken</t>
        </is>
      </c>
    </row>
    <row r="13">
      <c r="A13" s="2" t="inlineStr">
        <is>
          <t>4. Bei Bestätigung 100% GF: 'verification_status' auf 'verified' setzen (wird grün)</t>
        </is>
      </c>
    </row>
    <row r="14">
      <c r="A14" s="2" t="inlineStr">
        <is>
          <t>5. 'last_verified_at' und 'verified_by' ausfüllen</t>
        </is>
      </c>
    </row>
    <row r="15">
      <c r="A15" s="2" t="inlineStr">
        <is>
          <t>6. Bei Ablehnung (nicht 100% GF): 'verification_status' auf 'rejected', 'rejection_reason' ausfüllen</t>
        </is>
      </c>
    </row>
    <row r="16">
      <c r="A16" s="2" t="inlineStr">
        <is>
          <t>7. Nur Einträge mit 'verified' kommen später in die App-Datenbank</t>
        </is>
      </c>
    </row>
    <row r="17">
      <c r="A17" s="2" t="n"/>
    </row>
    <row r="18" ht="15.75" customHeight="1">
      <c r="A18" s="1" t="inlineStr">
        <is>
          <t>WICHTIG ZUR DATENQUALITÄT</t>
        </is>
      </c>
    </row>
    <row r="19">
      <c r="A19" s="2" t="inlineStr">
        <is>
          <t>Die initiale Befüllung basiert auf Web-Recherche aus Quellen wie:</t>
        </is>
      </c>
    </row>
    <row r="20">
      <c r="A20" s="2" t="inlineStr">
        <is>
          <t>- celicidad.net, celiacosmadrid.org, redsevillasingluten.org, acecova.org</t>
        </is>
      </c>
    </row>
    <row r="21">
      <c r="A21" s="2" t="inlineStr">
        <is>
          <t>- celinews.com, disfrutandosingluten.es, celiaquita.com, marchandoviaje.com</t>
        </is>
      </c>
    </row>
    <row r="22">
      <c r="A22" s="2" t="inlineStr">
        <is>
          <t>- Eigene Webseiten der Restaurants, FACE-Verzeichnis</t>
        </is>
      </c>
    </row>
    <row r="23">
      <c r="A23" s="2" t="inlineStr">
        <is>
          <t>Quelle pro Eintrag dokumentiert in Spalte 'data_source_notes'.</t>
        </is>
      </c>
    </row>
    <row r="24">
      <c r="A24" s="2" t="inlineStr">
        <is>
          <t>Web-Quellen können veraltet sein — DESHALB ist eigene Verifizierung Pflicht.</t>
        </is>
      </c>
    </row>
    <row r="25">
      <c r="A25" s="2" t="n"/>
    </row>
    <row r="26" ht="15.75" customHeight="1">
      <c r="A26" s="1" t="inlineStr">
        <is>
          <t>SHEETS</t>
        </is>
      </c>
    </row>
    <row r="27">
      <c r="A27" s="2" t="inlineStr">
        <is>
          <t>- restaurants:        Hauptdatenbank — alle Restaurants</t>
        </is>
      </c>
    </row>
    <row r="28">
      <c r="A28" s="2" t="inlineStr">
        <is>
          <t>- delivery_links:     Lieferdienst-Links pro Restaurant (Glovo, Just Eat, Uber Eats)</t>
        </is>
      </c>
    </row>
    <row r="29">
      <c r="A29" s="2" t="inlineStr">
        <is>
          <t>- reservation_links:  Reservierungs-Links (TheFork, OpenTable)</t>
        </is>
      </c>
    </row>
    <row r="30">
      <c r="A30" s="2" t="inlineStr">
        <is>
          <t>- submissions:        Eingehende User-Vorschläge (für später)</t>
        </is>
      </c>
    </row>
    <row r="31">
      <c r="A31" s="2" t="inlineStr">
        <is>
          <t>- lookups:            ISO-Codes, Enum-Werte, Referenzlisten</t>
        </is>
      </c>
    </row>
    <row r="32">
      <c r="A32" s="2" t="n"/>
    </row>
    <row r="33" ht="15.75" customHeight="1">
      <c r="A33" s="1" t="inlineStr">
        <is>
          <t>FARBLEGENDE</t>
        </is>
      </c>
    </row>
    <row r="34">
      <c r="A34" s="2" t="inlineStr">
        <is>
          <t>- Gelb hinterlegt:    Status = pending_verification (noch zu prüfen)</t>
        </is>
      </c>
    </row>
    <row r="35">
      <c r="A35" s="2" t="inlineStr">
        <is>
          <t>- Grün hinterlegt:    Status = verified (von uns bestätigt 100% GF)</t>
        </is>
      </c>
    </row>
    <row r="36">
      <c r="A36" s="2" t="inlineStr">
        <is>
          <t>- Rot hinterlegt:     Status = rejected (nicht 100% GF, ausgemustert)</t>
        </is>
      </c>
    </row>
    <row r="37">
      <c r="A37" s="2" t="n"/>
    </row>
    <row r="38" ht="15.75" customHeight="1">
      <c r="A38" s="1" t="inlineStr">
        <is>
          <t>KONVENTIONEN</t>
        </is>
      </c>
    </row>
    <row r="39">
      <c r="A39" s="2" t="inlineStr">
        <is>
          <t>- Telefonnummern im Format +34XXXXXXXXX (E.164)</t>
        </is>
      </c>
    </row>
    <row r="40">
      <c r="A40" s="2" t="inlineStr">
        <is>
          <t>- Koordinaten: latitude/longitude — 6 Nachkommastellen ungefähr</t>
        </is>
      </c>
    </row>
    <row r="41">
      <c r="A41" s="2" t="inlineStr">
        <is>
          <t>- ISO-Region-Codes: ES-IB (Balearen), ES-MD (Madrid), ES-CT (Katalonien) etc.</t>
        </is>
      </c>
    </row>
    <row r="42">
      <c r="A42" s="2" t="inlineStr">
        <is>
          <t>- venue_type / cuisine_types: siehe Sheet 'lookups'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10" defaultColWidth="9.140625" defaultRowHeight="15"/>
  <cols>
    <col width="24" customWidth="1" min="1" max="14"/>
  </cols>
  <sheetData>
    <row r="1" ht="32.1" customHeight="1">
      <c r="A1" s="3" t="inlineStr">
        <is>
          <t>country_code</t>
        </is>
      </c>
      <c r="B1" s="3" t="inlineStr">
        <is>
          <t>country_name</t>
        </is>
      </c>
      <c r="C1" s="3" t="inlineStr">
        <is>
          <t>region_code_es</t>
        </is>
      </c>
      <c r="D1" s="3" t="inlineStr">
        <is>
          <t>region_name_es</t>
        </is>
      </c>
      <c r="E1" s="3" t="inlineStr">
        <is>
          <t>venue_type</t>
        </is>
      </c>
      <c r="F1" s="3" t="inlineStr">
        <is>
          <t>cuisine_type</t>
        </is>
      </c>
      <c r="G1" s="3" t="inlineStr">
        <is>
          <t>price_range</t>
        </is>
      </c>
      <c r="H1" s="3" t="inlineStr">
        <is>
          <t>meal_type</t>
        </is>
      </c>
      <c r="I1" s="3" t="inlineStr">
        <is>
          <t>verification_status</t>
        </is>
      </c>
      <c r="J1" s="3" t="inlineStr">
        <is>
          <t>verification_method</t>
        </is>
      </c>
      <c r="K1" s="3" t="inlineStr">
        <is>
          <t>data_source_type</t>
        </is>
      </c>
      <c r="L1" s="3" t="inlineStr">
        <is>
          <t>platform_delivery</t>
        </is>
      </c>
      <c r="M1" s="3" t="inlineStr">
        <is>
          <t>platform_reservation</t>
        </is>
      </c>
      <c r="N1" s="3" t="inlineStr">
        <is>
          <t>national_authority</t>
        </is>
      </c>
    </row>
    <row r="2">
      <c r="A2" s="4" t="inlineStr">
        <is>
          <t>ES</t>
        </is>
      </c>
      <c r="B2" s="4" t="inlineStr">
        <is>
          <t>España</t>
        </is>
      </c>
      <c r="C2" s="4" t="inlineStr">
        <is>
          <t>ES-AN</t>
        </is>
      </c>
      <c r="D2" s="4" t="inlineStr">
        <is>
          <t>Andalucía</t>
        </is>
      </c>
      <c r="E2" s="4" t="inlineStr">
        <is>
          <t>restaurant</t>
        </is>
      </c>
      <c r="F2" s="4" t="inlineStr">
        <is>
          <t>mediterranea</t>
        </is>
      </c>
      <c r="G2" s="4" t="inlineStr">
        <is>
          <t>€</t>
        </is>
      </c>
      <c r="H2" s="4" t="inlineStr">
        <is>
          <t>breakfast</t>
        </is>
      </c>
      <c r="I2" s="4" t="inlineStr">
        <is>
          <t>pending_verification</t>
        </is>
      </c>
      <c r="J2" s="4" t="inlineStr">
        <is>
          <t>own_visit</t>
        </is>
      </c>
      <c r="K2" s="4" t="inlineStr">
        <is>
          <t>own_research</t>
        </is>
      </c>
      <c r="L2" s="4" t="inlineStr">
        <is>
          <t>glovo</t>
        </is>
      </c>
      <c r="M2" s="4" t="inlineStr">
        <is>
          <t>thefork</t>
        </is>
      </c>
      <c r="N2" s="4" t="inlineStr">
        <is>
          <t>FACE</t>
        </is>
      </c>
    </row>
    <row r="3">
      <c r="A3" s="4" t="inlineStr">
        <is>
          <t>PT</t>
        </is>
      </c>
      <c r="B3" s="4" t="inlineStr">
        <is>
          <t>Portugal</t>
        </is>
      </c>
      <c r="C3" s="4" t="inlineStr">
        <is>
          <t>ES-AR</t>
        </is>
      </c>
      <c r="D3" s="4" t="inlineStr">
        <is>
          <t>Aragón</t>
        </is>
      </c>
      <c r="E3" s="4" t="inlineStr">
        <is>
          <t>cafe</t>
        </is>
      </c>
      <c r="F3" s="4" t="inlineStr">
        <is>
          <t>espanola</t>
        </is>
      </c>
      <c r="G3" s="4" t="inlineStr">
        <is>
          <t>€€</t>
        </is>
      </c>
      <c r="H3" s="4" t="inlineStr">
        <is>
          <t>brunch</t>
        </is>
      </c>
      <c r="I3" s="4" t="inlineStr">
        <is>
          <t>in_verification</t>
        </is>
      </c>
      <c r="J3" s="4" t="inlineStr">
        <is>
          <t>phone_confirmed</t>
        </is>
      </c>
      <c r="K3" s="4" t="inlineStr">
        <is>
          <t>face_directory</t>
        </is>
      </c>
      <c r="L3" s="4" t="inlineStr">
        <is>
          <t>just_eat</t>
        </is>
      </c>
      <c r="M3" s="4" t="inlineStr">
        <is>
          <t>opentable</t>
        </is>
      </c>
      <c r="N3" s="4" t="inlineStr">
        <is>
          <t>ACECOVA</t>
        </is>
      </c>
    </row>
    <row r="4">
      <c r="A4" s="4" t="inlineStr">
        <is>
          <t>IT</t>
        </is>
      </c>
      <c r="B4" s="4" t="inlineStr">
        <is>
          <t>Italia</t>
        </is>
      </c>
      <c r="C4" s="4" t="inlineStr">
        <is>
          <t>ES-AS</t>
        </is>
      </c>
      <c r="D4" s="4" t="inlineStr">
        <is>
          <t>Asturias</t>
        </is>
      </c>
      <c r="E4" s="4" t="inlineStr">
        <is>
          <t>bakery</t>
        </is>
      </c>
      <c r="F4" s="4" t="inlineStr">
        <is>
          <t>andaluza</t>
        </is>
      </c>
      <c r="G4" s="4" t="inlineStr">
        <is>
          <t>€€€</t>
        </is>
      </c>
      <c r="H4" s="4" t="inlineStr">
        <is>
          <t>lunch</t>
        </is>
      </c>
      <c r="I4" s="4" t="inlineStr">
        <is>
          <t>verified</t>
        </is>
      </c>
      <c r="J4" s="4" t="inlineStr">
        <is>
          <t>email_confirmed</t>
        </is>
      </c>
      <c r="K4" s="4" t="inlineStr">
        <is>
          <t>regional_association</t>
        </is>
      </c>
      <c r="L4" s="4" t="inlineStr">
        <is>
          <t>uber_eats</t>
        </is>
      </c>
      <c r="M4" s="4" t="inlineStr">
        <is>
          <t>quandoo</t>
        </is>
      </c>
      <c r="N4" s="4" t="inlineStr">
        <is>
          <t>Celiacs Catalunya</t>
        </is>
      </c>
    </row>
    <row r="5">
      <c r="A5" s="4" t="inlineStr">
        <is>
          <t>FR</t>
        </is>
      </c>
      <c r="B5" s="4" t="inlineStr">
        <is>
          <t>Francia</t>
        </is>
      </c>
      <c r="C5" s="4" t="inlineStr">
        <is>
          <t>ES-CN</t>
        </is>
      </c>
      <c r="D5" s="4" t="inlineStr">
        <is>
          <t>Canarias</t>
        </is>
      </c>
      <c r="E5" s="4" t="inlineStr">
        <is>
          <t>pastry_shop</t>
        </is>
      </c>
      <c r="F5" s="4" t="inlineStr">
        <is>
          <t>catalana</t>
        </is>
      </c>
      <c r="G5" s="4" t="inlineStr">
        <is>
          <t>€€€€</t>
        </is>
      </c>
      <c r="H5" s="4" t="inlineStr">
        <is>
          <t>dinner</t>
        </is>
      </c>
      <c r="I5" s="4" t="inlineStr">
        <is>
          <t>rejected</t>
        </is>
      </c>
      <c r="J5" s="4" t="inlineStr">
        <is>
          <t>face_certified</t>
        </is>
      </c>
      <c r="K5" s="4" t="inlineStr">
        <is>
          <t>blog_research</t>
        </is>
      </c>
      <c r="L5" s="4" t="inlineStr">
        <is>
          <t>wolt</t>
        </is>
      </c>
      <c r="M5" s="4" t="inlineStr">
        <is>
          <t>booking_restaurants</t>
        </is>
      </c>
      <c r="N5" s="4" t="inlineStr">
        <is>
          <t>Celiacs Balears</t>
        </is>
      </c>
    </row>
    <row r="6">
      <c r="A6" s="4" t="inlineStr">
        <is>
          <t>DE</t>
        </is>
      </c>
      <c r="B6" s="4" t="inlineStr">
        <is>
          <t>Alemania</t>
        </is>
      </c>
      <c r="C6" s="4" t="inlineStr">
        <is>
          <t>ES-CB</t>
        </is>
      </c>
      <c r="D6" s="4" t="inlineStr">
        <is>
          <t>Cantabria</t>
        </is>
      </c>
      <c r="E6" s="4" t="inlineStr">
        <is>
          <t>ice_cream</t>
        </is>
      </c>
      <c r="F6" s="4" t="inlineStr">
        <is>
          <t>valenciana</t>
        </is>
      </c>
      <c r="H6" s="4" t="inlineStr">
        <is>
          <t>snacks</t>
        </is>
      </c>
      <c r="I6" s="4" t="inlineStr">
        <is>
          <t>closed_permanently</t>
        </is>
      </c>
      <c r="J6" s="4" t="inlineStr">
        <is>
          <t>regional_assoc_certified</t>
        </is>
      </c>
      <c r="K6" s="4" t="inlineStr">
        <is>
          <t>official_website</t>
        </is>
      </c>
      <c r="L6" s="4" t="inlineStr">
        <is>
          <t>lieferando</t>
        </is>
      </c>
      <c r="M6" s="4" t="inlineStr">
        <is>
          <t>own_website</t>
        </is>
      </c>
      <c r="N6" s="4" t="inlineStr">
        <is>
          <t>ACSG Madrid</t>
        </is>
      </c>
    </row>
    <row r="7">
      <c r="A7" s="4" t="inlineStr">
        <is>
          <t>AT</t>
        </is>
      </c>
      <c r="B7" s="4" t="inlineStr">
        <is>
          <t>Austria</t>
        </is>
      </c>
      <c r="C7" s="4" t="inlineStr">
        <is>
          <t>ES-CL</t>
        </is>
      </c>
      <c r="D7" s="4" t="inlineStr">
        <is>
          <t>Castilla y León</t>
        </is>
      </c>
      <c r="E7" s="4" t="inlineStr">
        <is>
          <t>pizzeria</t>
        </is>
      </c>
      <c r="F7" s="4" t="inlineStr">
        <is>
          <t>mallorquina</t>
        </is>
      </c>
      <c r="H7" s="4" t="inlineStr">
        <is>
          <t>drinks</t>
        </is>
      </c>
      <c r="J7" s="4" t="inlineStr">
        <is>
          <t>operator_declaration</t>
        </is>
      </c>
      <c r="K7" s="4" t="inlineStr">
        <is>
          <t>community_submission</t>
        </is>
      </c>
      <c r="L7" s="4" t="inlineStr">
        <is>
          <t>foodora</t>
        </is>
      </c>
      <c r="M7" s="4" t="inlineStr">
        <is>
          <t>phone_only</t>
        </is>
      </c>
      <c r="N7" s="4" t="inlineStr">
        <is>
          <t>Red Sevilla Sin Gluten</t>
        </is>
      </c>
    </row>
    <row r="8">
      <c r="A8" s="4" t="inlineStr">
        <is>
          <t>CH</t>
        </is>
      </c>
      <c r="B8" s="4" t="inlineStr">
        <is>
          <t>Suiza</t>
        </is>
      </c>
      <c r="C8" s="4" t="inlineStr">
        <is>
          <t>ES-CM</t>
        </is>
      </c>
      <c r="D8" s="4" t="inlineStr">
        <is>
          <t>Castilla-La Mancha</t>
        </is>
      </c>
      <c r="E8" s="4" t="inlineStr">
        <is>
          <t>bar_tapas</t>
        </is>
      </c>
      <c r="F8" s="4" t="inlineStr">
        <is>
          <t>italiana</t>
        </is>
      </c>
      <c r="J8" s="4" t="inlineStr">
        <is>
          <t>multiple_sources</t>
        </is>
      </c>
      <c r="L8" s="4" t="inlineStr">
        <is>
          <t>deliveroo</t>
        </is>
      </c>
      <c r="M8" s="4" t="inlineStr">
        <is>
          <t>walk_in_only</t>
        </is>
      </c>
      <c r="N8" s="4" t="inlineStr">
        <is>
          <t>Celiacs Andalucia</t>
        </is>
      </c>
    </row>
    <row r="9">
      <c r="A9" s="4" t="inlineStr">
        <is>
          <t>GB</t>
        </is>
      </c>
      <c r="B9" s="4" t="inlineStr">
        <is>
          <t>Reino Unido</t>
        </is>
      </c>
      <c r="C9" s="4" t="inlineStr">
        <is>
          <t>ES-CT</t>
        </is>
      </c>
      <c r="D9" s="4" t="inlineStr">
        <is>
          <t>Cataluña</t>
        </is>
      </c>
      <c r="E9" s="4" t="inlineStr">
        <is>
          <t>fast_food</t>
        </is>
      </c>
      <c r="F9" s="4" t="inlineStr">
        <is>
          <t>japonesa</t>
        </is>
      </c>
      <c r="L9" s="4" t="inlineStr">
        <is>
          <t>takeaway</t>
        </is>
      </c>
      <c r="M9" s="4" t="inlineStr">
        <is>
          <t>instagram_dm</t>
        </is>
      </c>
      <c r="N9" s="4" t="inlineStr">
        <is>
          <t>AOECS</t>
        </is>
      </c>
    </row>
    <row r="10">
      <c r="A10" s="4" t="inlineStr">
        <is>
          <t>IE</t>
        </is>
      </c>
      <c r="B10" s="4" t="inlineStr">
        <is>
          <t>Irlanda</t>
        </is>
      </c>
      <c r="C10" s="4" t="inlineStr">
        <is>
          <t>ES-EX</t>
        </is>
      </c>
      <c r="D10" s="4" t="inlineStr">
        <is>
          <t>Extremadura</t>
        </is>
      </c>
      <c r="E10" s="4" t="inlineStr">
        <is>
          <t>hotel_restaurant</t>
        </is>
      </c>
      <c r="F10" s="4" t="inlineStr">
        <is>
          <t>asiatica</t>
        </is>
      </c>
      <c r="L10" s="4" t="inlineStr">
        <is>
          <t>bolt_food</t>
        </is>
      </c>
    </row>
    <row r="11">
      <c r="A11" s="4" t="inlineStr">
        <is>
          <t>NL</t>
        </is>
      </c>
      <c r="B11" s="4" t="inlineStr">
        <is>
          <t>Países Bajos</t>
        </is>
      </c>
      <c r="C11" s="4" t="inlineStr">
        <is>
          <t>ES-GA</t>
        </is>
      </c>
      <c r="D11" s="4" t="inlineStr">
        <is>
          <t>Galicia</t>
        </is>
      </c>
      <c r="E11" s="4" t="inlineStr">
        <is>
          <t>food_truck</t>
        </is>
      </c>
      <c r="F11" s="4" t="inlineStr">
        <is>
          <t>mexicana</t>
        </is>
      </c>
      <c r="L11" s="4" t="inlineStr">
        <is>
          <t>own_delivery</t>
        </is>
      </c>
    </row>
    <row r="12">
      <c r="A12" s="4" t="inlineStr">
        <is>
          <t>BE</t>
        </is>
      </c>
      <c r="B12" s="4" t="inlineStr">
        <is>
          <t>Bélgica</t>
        </is>
      </c>
      <c r="C12" s="4" t="inlineStr">
        <is>
          <t>ES-IB</t>
        </is>
      </c>
      <c r="D12" s="4" t="inlineStr">
        <is>
          <t>Illes Balears</t>
        </is>
      </c>
      <c r="E12" s="4" t="inlineStr">
        <is>
          <t>catering</t>
        </is>
      </c>
      <c r="F12" s="4" t="inlineStr">
        <is>
          <t>venezolana</t>
        </is>
      </c>
      <c r="L12" s="4" t="inlineStr">
        <is>
          <t>no_delivery</t>
        </is>
      </c>
    </row>
    <row r="13">
      <c r="A13" s="4" t="inlineStr">
        <is>
          <t>DK</t>
        </is>
      </c>
      <c r="B13" s="4" t="inlineStr">
        <is>
          <t>Dinamarca</t>
        </is>
      </c>
      <c r="C13" s="4" t="inlineStr">
        <is>
          <t>ES-RI</t>
        </is>
      </c>
      <c r="D13" s="4" t="inlineStr">
        <is>
          <t>La Rioja</t>
        </is>
      </c>
      <c r="E13" s="4" t="inlineStr">
        <is>
          <t>brunch_place</t>
        </is>
      </c>
      <c r="F13" s="4" t="inlineStr">
        <is>
          <t>internacional</t>
        </is>
      </c>
    </row>
    <row r="14">
      <c r="A14" s="4" t="inlineStr">
        <is>
          <t>SE</t>
        </is>
      </c>
      <c r="B14" s="4" t="inlineStr">
        <is>
          <t>Suecia</t>
        </is>
      </c>
      <c r="C14" s="4" t="inlineStr">
        <is>
          <t>ES-MD</t>
        </is>
      </c>
      <c r="D14" s="4" t="inlineStr">
        <is>
          <t>Comunidad de Madrid</t>
        </is>
      </c>
      <c r="E14" s="4" t="inlineStr">
        <is>
          <t>burger_joint</t>
        </is>
      </c>
      <c r="F14" s="4" t="inlineStr">
        <is>
          <t>vegana</t>
        </is>
      </c>
    </row>
    <row r="15">
      <c r="A15" s="4" t="inlineStr">
        <is>
          <t>NO</t>
        </is>
      </c>
      <c r="B15" s="4" t="inlineStr">
        <is>
          <t>Noruega</t>
        </is>
      </c>
      <c r="C15" s="4" t="inlineStr">
        <is>
          <t>ES-MC</t>
        </is>
      </c>
      <c r="D15" s="4" t="inlineStr">
        <is>
          <t>Región de Murcia</t>
        </is>
      </c>
      <c r="E15" s="4" t="inlineStr">
        <is>
          <t>asian_restaurant</t>
        </is>
      </c>
      <c r="F15" s="4" t="inlineStr">
        <is>
          <t>vegetariana</t>
        </is>
      </c>
    </row>
    <row r="16">
      <c r="A16" s="4" t="inlineStr">
        <is>
          <t>FI</t>
        </is>
      </c>
      <c r="B16" s="4" t="inlineStr">
        <is>
          <t>Finlandia</t>
        </is>
      </c>
      <c r="C16" s="4" t="inlineStr">
        <is>
          <t>ES-NC</t>
        </is>
      </c>
      <c r="D16" s="4" t="inlineStr">
        <is>
          <t>Navarra</t>
        </is>
      </c>
      <c r="F16" s="4" t="inlineStr">
        <is>
          <t>saludable</t>
        </is>
      </c>
    </row>
    <row r="17">
      <c r="A17" s="4" t="inlineStr">
        <is>
          <t>PL</t>
        </is>
      </c>
      <c r="B17" s="4" t="inlineStr">
        <is>
          <t>Polonia</t>
        </is>
      </c>
      <c r="C17" s="4" t="inlineStr">
        <is>
          <t>ES-PV</t>
        </is>
      </c>
      <c r="D17" s="4" t="inlineStr">
        <is>
          <t>País Vasco</t>
        </is>
      </c>
      <c r="F17" s="4" t="inlineStr">
        <is>
          <t>tapas</t>
        </is>
      </c>
    </row>
    <row r="18">
      <c r="A18" s="4" t="inlineStr">
        <is>
          <t>CZ</t>
        </is>
      </c>
      <c r="B18" s="4" t="inlineStr">
        <is>
          <t>Chequia</t>
        </is>
      </c>
      <c r="C18" s="4" t="inlineStr">
        <is>
          <t>ES-VC</t>
        </is>
      </c>
      <c r="D18" s="4" t="inlineStr">
        <is>
          <t>Comunidad Valenciana</t>
        </is>
      </c>
      <c r="F18" s="4" t="inlineStr">
        <is>
          <t>arroces</t>
        </is>
      </c>
    </row>
    <row r="19">
      <c r="C19" s="4" t="inlineStr">
        <is>
          <t>ES-CE</t>
        </is>
      </c>
      <c r="D19" s="4" t="inlineStr">
        <is>
          <t>Ceuta</t>
        </is>
      </c>
      <c r="F19" s="4" t="inlineStr">
        <is>
          <t>pizzas</t>
        </is>
      </c>
    </row>
    <row r="20">
      <c r="C20" s="4" t="inlineStr">
        <is>
          <t>ES-ML</t>
        </is>
      </c>
      <c r="D20" s="4" t="inlineStr">
        <is>
          <t>Melilla</t>
        </is>
      </c>
      <c r="F20" s="4" t="inlineStr">
        <is>
          <t>pasta</t>
        </is>
      </c>
    </row>
    <row r="21">
      <c r="F21" s="4" t="inlineStr">
        <is>
          <t>hamburguesas</t>
        </is>
      </c>
    </row>
    <row r="22">
      <c r="F22" s="4" t="inlineStr">
        <is>
          <t>sushi</t>
        </is>
      </c>
    </row>
    <row r="23">
      <c r="F23" s="4" t="inlineStr">
        <is>
          <t>brasileña</t>
        </is>
      </c>
    </row>
    <row r="24">
      <c r="F24" s="4" t="inlineStr">
        <is>
          <t>tailandesa</t>
        </is>
      </c>
    </row>
    <row r="25">
      <c r="F25" s="4" t="inlineStr">
        <is>
          <t>china</t>
        </is>
      </c>
    </row>
    <row r="26">
      <c r="F26" s="4" t="inlineStr">
        <is>
          <t>francesa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108"/>
  <sheetViews>
    <sheetView workbookViewId="0">
      <pane ySplit="1" topLeftCell="A80" activePane="bottomLeft" state="frozen"/>
      <selection pane="bottomLeft" activeCell="A1" sqref="A1"/>
    </sheetView>
  </sheetViews>
  <sheetFormatPr baseColWidth="10" defaultColWidth="9.140625" defaultRowHeight="15"/>
  <cols>
    <col width="12" customWidth="1" min="1" max="1"/>
    <col width="12" customWidth="1" min="2" max="3"/>
    <col width="12" customWidth="1" min="3" max="3"/>
    <col width="14" customWidth="1" min="4" max="4"/>
    <col width="13" customWidth="1" min="5" max="5"/>
    <col width="13" customWidth="1" min="6" max="6"/>
    <col width="12" customWidth="1" min="7" max="7"/>
    <col width="12" customWidth="1" min="8" max="8"/>
    <col width="12" customWidth="1" min="9" max="9"/>
    <col width="13" customWidth="1" min="10" max="10"/>
    <col width="16" customWidth="1" min="11" max="11"/>
    <col width="12" customWidth="1" min="12" max="13"/>
    <col width="12" customWidth="1" min="13" max="13"/>
    <col width="17" customWidth="1" min="14" max="14"/>
    <col width="16" customWidth="1" min="15" max="15"/>
    <col width="12" customWidth="1" min="16" max="16"/>
    <col width="15" customWidth="1" min="17" max="18"/>
    <col width="13" customWidth="1" min="18" max="18"/>
    <col width="12" customWidth="1" min="19" max="19"/>
    <col width="21" customWidth="1" min="20" max="20"/>
    <col width="22" customWidth="1" min="21" max="21"/>
    <col width="18" customWidth="1" min="22" max="22"/>
    <col width="14" customWidth="1" min="23" max="23"/>
    <col width="17" customWidth="1" min="24" max="25"/>
    <col width="20" customWidth="1" min="25" max="25"/>
    <col width="12" customWidth="1" min="26" max="26"/>
    <col width="12" customWidth="1" min="27" max="28"/>
    <col width="12" customWidth="1" min="28" max="28"/>
    <col width="12" customWidth="1" min="29" max="29"/>
    <col width="12" customWidth="1" min="30" max="30"/>
    <col width="12" customWidth="1" min="31" max="31"/>
    <col width="12" customWidth="1" min="32" max="32"/>
    <col width="15" customWidth="1" min="33" max="33"/>
    <col width="18" customWidth="1" min="34" max="34"/>
    <col width="16" customWidth="1" min="35" max="37"/>
    <col width="16" customWidth="1" min="36" max="36"/>
    <col width="16" customWidth="1" min="37" max="37"/>
    <col width="20" customWidth="1" min="38" max="38"/>
    <col width="14" customWidth="1" min="39" max="39"/>
    <col width="12" customWidth="1" min="40" max="40"/>
    <col width="13" customWidth="1" min="41" max="42"/>
    <col width="12" customWidth="1" min="42" max="42"/>
    <col width="15" customWidth="1" min="43" max="43"/>
    <col width="14" customWidth="1" min="44" max="44"/>
    <col width="13" customWidth="1" min="45" max="45"/>
    <col width="20" customWidth="1" min="46" max="46"/>
    <col width="18" customWidth="1" min="47" max="47"/>
    <col width="18" customWidth="1" min="48" max="48"/>
    <col width="19" customWidth="1" min="49" max="49"/>
    <col width="12" customWidth="1" min="50" max="50"/>
    <col width="12" customWidth="1" min="51" max="51"/>
  </cols>
  <sheetData>
    <row r="1" ht="32.1" customHeight="1">
      <c r="A1" s="10" t="inlineStr">
        <is>
          <t>id</t>
        </is>
      </c>
      <c r="B1" s="10" t="inlineStr">
        <is>
          <t>name</t>
        </is>
      </c>
      <c r="C1" s="10" t="inlineStr">
        <is>
          <t>slug</t>
        </is>
      </c>
      <c r="D1" s="10" t="inlineStr">
        <is>
          <t>country_code</t>
        </is>
      </c>
      <c r="E1" s="10" t="inlineStr">
        <is>
          <t>region_code</t>
        </is>
      </c>
      <c r="F1" s="10" t="inlineStr">
        <is>
          <t>region_name</t>
        </is>
      </c>
      <c r="G1" s="10" t="inlineStr">
        <is>
          <t>province</t>
        </is>
      </c>
      <c r="H1" s="10" t="inlineStr">
        <is>
          <t>city</t>
        </is>
      </c>
      <c r="I1" s="10" t="inlineStr">
        <is>
          <t>district</t>
        </is>
      </c>
      <c r="J1" s="10" t="inlineStr">
        <is>
          <t>postal_code</t>
        </is>
      </c>
      <c r="K1" s="10" t="inlineStr">
        <is>
          <t>address_street</t>
        </is>
      </c>
      <c r="L1" s="10" t="inlineStr">
        <is>
          <t>latitude</t>
        </is>
      </c>
      <c r="M1" s="10" t="inlineStr">
        <is>
          <t>longitude</t>
        </is>
      </c>
      <c r="N1" s="10" t="inlineStr">
        <is>
          <t>google_maps_url</t>
        </is>
      </c>
      <c r="O1" s="10" t="inlineStr">
        <is>
          <t>apple_maps_url</t>
        </is>
      </c>
      <c r="P1" s="10" t="inlineStr">
        <is>
          <t>venue_type</t>
        </is>
      </c>
      <c r="Q1" s="10" t="inlineStr">
        <is>
          <t>cuisine_types</t>
        </is>
      </c>
      <c r="R1" s="10" t="inlineStr">
        <is>
          <t>price_range</t>
        </is>
      </c>
      <c r="S1" s="10" t="inlineStr">
        <is>
          <t>meal_types</t>
        </is>
      </c>
      <c r="T1" s="10" t="inlineStr">
        <is>
          <t>verification_status</t>
        </is>
      </c>
      <c r="U1" s="10" t="inlineStr">
        <is>
          <t>verification_methods</t>
        </is>
      </c>
      <c r="V1" s="10" t="inlineStr">
        <is>
          <t>last_verified_at</t>
        </is>
      </c>
      <c r="W1" s="10" t="inlineStr">
        <is>
          <t>face_program</t>
        </is>
      </c>
      <c r="X1" s="10" t="inlineStr">
        <is>
          <t>aoecs_certified</t>
        </is>
      </c>
      <c r="Y1" s="10" t="inlineStr">
        <is>
          <t>national_authority</t>
        </is>
      </c>
      <c r="Z1" s="10" t="inlineStr">
        <is>
          <t>phone</t>
        </is>
      </c>
      <c r="AA1" s="10" t="inlineStr">
        <is>
          <t>whatsapp</t>
        </is>
      </c>
      <c r="AB1" s="10" t="inlineStr">
        <is>
          <t>email</t>
        </is>
      </c>
      <c r="AC1" s="10" t="inlineStr">
        <is>
          <t>website</t>
        </is>
      </c>
      <c r="AD1" s="10" t="inlineStr">
        <is>
          <t>menu_url</t>
        </is>
      </c>
      <c r="AE1" s="10" t="inlineStr">
        <is>
          <t>instagram</t>
        </is>
      </c>
      <c r="AF1" s="10" t="inlineStr">
        <is>
          <t>facebook</t>
        </is>
      </c>
      <c r="AG1" s="10" t="inlineStr">
        <is>
          <t>opening_hours</t>
        </is>
      </c>
      <c r="AH1" s="10" t="inlineStr">
        <is>
          <t>seasonal_closure</t>
        </is>
      </c>
      <c r="AI1" s="10" t="inlineStr">
        <is>
          <t>description_de</t>
        </is>
      </c>
      <c r="AJ1" s="10" t="inlineStr">
        <is>
          <t>description_en</t>
        </is>
      </c>
      <c r="AK1" s="10" t="inlineStr">
        <is>
          <t>description_es</t>
        </is>
      </c>
      <c r="AL1" s="10" t="inlineStr">
        <is>
          <t>featured_image_url</t>
        </is>
      </c>
      <c r="AM1" s="10" t="inlineStr">
        <is>
          <t>is_published</t>
        </is>
      </c>
      <c r="AN1" s="10" t="inlineStr">
        <is>
          <t>is_hidden</t>
        </is>
      </c>
      <c r="AO1" s="10" t="inlineStr">
        <is>
          <t>thefork_url</t>
        </is>
      </c>
      <c r="AP1" s="10" t="inlineStr">
        <is>
          <t>glovo_url</t>
        </is>
      </c>
      <c r="AQ1" s="10" t="inlineStr">
        <is>
          <t>uber_eats_url</t>
        </is>
      </c>
      <c r="AR1" s="10" t="inlineStr">
        <is>
          <t>just_eat_url</t>
        </is>
      </c>
      <c r="AS1" s="10" t="inlineStr">
        <is>
          <t>verified_by</t>
        </is>
      </c>
      <c r="AT1" s="10" t="inlineStr">
        <is>
          <t>verification_notes</t>
        </is>
      </c>
      <c r="AU1" s="10" t="inlineStr">
        <is>
          <t>rejection_reason</t>
        </is>
      </c>
      <c r="AV1" s="10" t="inlineStr">
        <is>
          <t>data_source_type</t>
        </is>
      </c>
      <c r="AW1" s="10" t="inlineStr">
        <is>
          <t>data_source_notes</t>
        </is>
      </c>
      <c r="AX1" s="10" t="inlineStr">
        <is>
          <t>created_at</t>
        </is>
      </c>
      <c r="AY1" s="10" t="inlineStr">
        <is>
          <t>updated_at</t>
        </is>
      </c>
    </row>
    <row r="2" ht="80.09999999999999" customHeight="1">
      <c r="A2" t="inlineStr">
        <is>
          <t>es_ib_001</t>
        </is>
      </c>
      <c r="B2" t="inlineStr">
        <is>
          <t>Avocado Mallorca</t>
        </is>
      </c>
      <c r="C2" t="inlineStr">
        <is>
          <t>avocado-mallorca-palma</t>
        </is>
      </c>
      <c r="D2" t="inlineStr">
        <is>
          <t>ES</t>
        </is>
      </c>
      <c r="E2" t="inlineStr">
        <is>
          <t>ES-IB</t>
        </is>
      </c>
      <c r="F2" t="inlineStr">
        <is>
          <t>Illes Balears</t>
        </is>
      </c>
      <c r="G2" t="inlineStr">
        <is>
          <t>Mallorca</t>
        </is>
      </c>
      <c r="H2" t="inlineStr">
        <is>
          <t>Palma de Mallorca</t>
        </is>
      </c>
      <c r="I2" t="inlineStr">
        <is>
          <t>Cala Major</t>
        </is>
      </c>
      <c r="J2" t="inlineStr">
        <is>
          <t>07015</t>
        </is>
      </c>
      <c r="K2" t="inlineStr">
        <is>
          <t>Avinguda Joan Miró, 279</t>
        </is>
      </c>
      <c r="L2" t="n">
        <v>39.553688</v>
      </c>
      <c r="M2" t="n">
        <v>2.605564</v>
      </c>
      <c r="P2" t="inlineStr">
        <is>
          <t>brunch_place</t>
        </is>
      </c>
      <c r="Q2" t="inlineStr">
        <is>
          <t>saludable, vegana, internacional</t>
        </is>
      </c>
      <c r="R2" t="inlineStr">
        <is>
          <t>€€</t>
        </is>
      </c>
      <c r="S2" t="inlineStr">
        <is>
          <t>breakfast, brunch, lunch</t>
        </is>
      </c>
      <c r="T2" t="inlineStr">
        <is>
          <t>pending_verification</t>
        </is>
      </c>
      <c r="W2" t="b">
        <v>1</v>
      </c>
      <c r="X2" t="b">
        <v>0</v>
      </c>
      <c r="Y2" t="inlineStr">
        <is>
          <t>FACE, Celiacs Balears</t>
        </is>
      </c>
      <c r="Z2" t="inlineStr">
        <is>
          <t>+34871532073</t>
        </is>
      </c>
      <c r="AB2" t="inlineStr">
        <is>
          <t>avocadomallorca@gmail.com</t>
        </is>
      </c>
      <c r="AC2" t="inlineStr">
        <is>
          <t>https://www.avocadomallorca.com</t>
        </is>
      </c>
      <c r="AE2" t="inlineStr">
        <is>
          <t>@avocadomallorca</t>
        </is>
      </c>
      <c r="AI2" t="inlineStr">
        <is>
          <t>100% glutenfreies Restaurant, pflanzenbasiert, FACE-zertifiziert. Gesundes Brunch in Cala Major.</t>
        </is>
      </c>
      <c r="AJ2" t="inlineStr">
        <is>
          <t>100% gluten-free restaurant, plant-based, FACE-certified. Healthy brunch in Cala Major.</t>
        </is>
      </c>
      <c r="AK2" t="inlineStr">
        <is>
          <t>Restaurante 100% libre de gluten, plant-based, certificado por FACE. Brunch saludable en Cala Major.</t>
        </is>
      </c>
      <c r="AM2" t="b">
        <v>1</v>
      </c>
      <c r="AN2" t="b">
        <v>0</v>
      </c>
      <c r="AT2" t="inlineStr">
        <is>
          <t>Laut eigener Webseite und ACSG Madrid: 'Toda la carta es sin gluten' + FACE-zertifiziert. Plant-based, Chef Leonardo Simoni. Reservierung läuft über externes System (restaurantlogin.com). PRÜFEN: Status weiterhin 100% GF + FACE-aktuell?</t>
        </is>
      </c>
      <c r="AV2" t="inlineStr">
        <is>
          <t>official_website</t>
        </is>
      </c>
      <c r="AW2" t="inlineStr">
        <is>
          <t>https://www.avocadomallorca.es/ + https://www.celiacosmadrid.org/comer-sin-gluten/establecimientos/?provincia=Islas+Baleares (Stand 04/2026)</t>
        </is>
      </c>
      <c r="AX2" t="inlineStr">
        <is>
          <t>2026-04-25</t>
        </is>
      </c>
      <c r="AY2" t="inlineStr">
        <is>
          <t>2026-04-25</t>
        </is>
      </c>
    </row>
    <row r="3" ht="80.09999999999999" customHeight="1">
      <c r="A3" t="inlineStr">
        <is>
          <t>es_ib_002</t>
        </is>
      </c>
      <c r="B3" t="inlineStr">
        <is>
          <t>Bolixe</t>
        </is>
      </c>
      <c r="C3" t="inlineStr">
        <is>
          <t>bolixe-palma</t>
        </is>
      </c>
      <c r="D3" t="inlineStr">
        <is>
          <t>ES</t>
        </is>
      </c>
      <c r="E3" t="inlineStr">
        <is>
          <t>ES-IB</t>
        </is>
      </c>
      <c r="F3" t="inlineStr">
        <is>
          <t>Illes Balears</t>
        </is>
      </c>
      <c r="G3" t="inlineStr">
        <is>
          <t>Mallorca</t>
        </is>
      </c>
      <c r="H3" t="inlineStr">
        <is>
          <t>Palma de Mallorca</t>
        </is>
      </c>
      <c r="J3" t="inlineStr">
        <is>
          <t>07004</t>
        </is>
      </c>
      <c r="K3" t="inlineStr">
        <is>
          <t>C/ Eusebi Estada, 33</t>
        </is>
      </c>
      <c r="L3" t="n">
        <v>39.582322</v>
      </c>
      <c r="M3" t="n">
        <v>2.674332</v>
      </c>
      <c r="P3" t="inlineStr">
        <is>
          <t>restaurant</t>
        </is>
      </c>
      <c r="Q3" t="inlineStr">
        <is>
          <t>mediterranea, espanola</t>
        </is>
      </c>
      <c r="R3" t="inlineStr">
        <is>
          <t>€€</t>
        </is>
      </c>
      <c r="S3" t="inlineStr">
        <is>
          <t>lunch, dinner</t>
        </is>
      </c>
      <c r="T3" t="inlineStr">
        <is>
          <t>pending_verification</t>
        </is>
      </c>
      <c r="W3" t="b">
        <v>1</v>
      </c>
      <c r="X3" t="b">
        <v>0</v>
      </c>
      <c r="Y3" t="inlineStr">
        <is>
          <t>FACE</t>
        </is>
      </c>
      <c r="Z3" t="inlineStr">
        <is>
          <t>+34871949447</t>
        </is>
      </c>
      <c r="AB3" t="inlineStr">
        <is>
          <t>reservas@bolixe.com</t>
        </is>
      </c>
      <c r="AC3" t="inlineStr">
        <is>
          <t>https://www.bolixe.com</t>
        </is>
      </c>
      <c r="AI3" t="inlineStr">
        <is>
          <t>100% glutenfreies mediterranes Restaurant in Palma.</t>
        </is>
      </c>
      <c r="AJ3" t="inlineStr">
        <is>
          <t>100% gluten-free Mediterranean restaurant in Palma.</t>
        </is>
      </c>
      <c r="AK3" t="inlineStr">
        <is>
          <t>Restaurante mediterráneo 100% sin gluten en Palma.</t>
        </is>
      </c>
      <c r="AM3" t="b">
        <v>1</v>
      </c>
      <c r="AN3" t="b">
        <v>0</v>
      </c>
      <c r="AT3" t="inlineStr">
        <is>
          <t>Im ACSG-Madrid-Verzeichnis als 'Avalado 100%' (= komplett 100% GF) gelistet. PRÜFEN: anrufen, Status bestätigen.</t>
        </is>
      </c>
      <c r="AV3" t="inlineStr">
        <is>
          <t>regional_association</t>
        </is>
      </c>
      <c r="AW3" t="inlineStr">
        <is>
          <t>ACSG Madrid Verzeichnis (celiacosmadrid.org), Stand 04/2026</t>
        </is>
      </c>
      <c r="AX3" t="inlineStr">
        <is>
          <t>2026-04-25</t>
        </is>
      </c>
      <c r="AY3" t="inlineStr">
        <is>
          <t>2026-04-25</t>
        </is>
      </c>
    </row>
    <row r="4" ht="80.09999999999999" customHeight="1">
      <c r="A4" t="inlineStr">
        <is>
          <t>es_ib_003</t>
        </is>
      </c>
      <c r="B4" t="inlineStr">
        <is>
          <t>Celicidad — Lokal Llevant</t>
        </is>
      </c>
      <c r="C4" t="inlineStr">
        <is>
          <t>celicidad-palma-llevant</t>
        </is>
      </c>
      <c r="D4" t="inlineStr">
        <is>
          <t>ES</t>
        </is>
      </c>
      <c r="E4" t="inlineStr">
        <is>
          <t>ES-IB</t>
        </is>
      </c>
      <c r="F4" t="inlineStr">
        <is>
          <t>Illes Balears</t>
        </is>
      </c>
      <c r="G4" t="inlineStr">
        <is>
          <t>Mallorca</t>
        </is>
      </c>
      <c r="H4" t="inlineStr">
        <is>
          <t>Palma de Mallorca</t>
        </is>
      </c>
      <c r="I4" t="inlineStr">
        <is>
          <t>Llevant</t>
        </is>
      </c>
      <c r="J4" t="inlineStr">
        <is>
          <t>07005</t>
        </is>
      </c>
      <c r="K4" t="inlineStr">
        <is>
          <t>C. de Costa i Llobera, 24</t>
        </is>
      </c>
      <c r="L4" t="n">
        <v>39.575177</v>
      </c>
      <c r="M4" t="n">
        <v>2.657807</v>
      </c>
      <c r="P4" t="inlineStr">
        <is>
          <t>pizzeria</t>
        </is>
      </c>
      <c r="Q4" t="inlineStr">
        <is>
          <t>italiana, pizzas</t>
        </is>
      </c>
      <c r="R4" t="inlineStr">
        <is>
          <t>€€</t>
        </is>
      </c>
      <c r="S4" t="inlineStr">
        <is>
          <t>lunch, dinner</t>
        </is>
      </c>
      <c r="T4" t="inlineStr">
        <is>
          <t>pending_verification</t>
        </is>
      </c>
      <c r="W4" t="b">
        <v>1</v>
      </c>
      <c r="X4" t="b">
        <v>0</v>
      </c>
      <c r="Y4" t="inlineStr">
        <is>
          <t>FACE</t>
        </is>
      </c>
      <c r="AI4" t="inlineStr">
        <is>
          <t>Pizzeria mit 100% glutenfreiem Teig, FACE-zertifiziert.</t>
        </is>
      </c>
      <c r="AJ4" t="inlineStr">
        <is>
          <t>Pizzeria with 100% gluten-free dough, FACE-endorsed.</t>
        </is>
      </c>
      <c r="AK4" t="inlineStr">
        <is>
          <t>Pizzería con masa 100% sin gluten, avalada por FACE.</t>
        </is>
      </c>
      <c r="AM4" t="b">
        <v>1</v>
      </c>
      <c r="AN4" t="b">
        <v>0</v>
      </c>
      <c r="AT4" t="inlineStr">
        <is>
          <t>Quelle Celicidad: 'Masa 100% sin gluten, avalado por FACE. Carta totalmente adaptada'. PRÜFEN: ist 'masa 100% GF' identisch mit 'Lokal 100% GF'? Möglicherweise Mischbetrieb mit GF-Karte. Klärungsbedarf!</t>
        </is>
      </c>
      <c r="AV4" t="inlineStr">
        <is>
          <t>blog_research</t>
        </is>
      </c>
      <c r="AW4" t="inlineStr">
        <is>
          <t>https://restaurantes.celicidad.net/ciudad/palma — UNKLAR ob ganzes Lokal oder nur Pizzateig 100% GF. Verifizierung dringend.</t>
        </is>
      </c>
      <c r="AX4" t="inlineStr">
        <is>
          <t>2026-04-25</t>
        </is>
      </c>
      <c r="AY4" t="inlineStr">
        <is>
          <t>2026-04-25</t>
        </is>
      </c>
    </row>
    <row r="5" ht="80.09999999999999" customHeight="1">
      <c r="A5" t="inlineStr">
        <is>
          <t>es_ib_004</t>
        </is>
      </c>
      <c r="B5" t="inlineStr">
        <is>
          <t>IRU Restaurant</t>
        </is>
      </c>
      <c r="C5" t="inlineStr">
        <is>
          <t>iru-restaurant-palma</t>
        </is>
      </c>
      <c r="D5" t="inlineStr">
        <is>
          <t>ES</t>
        </is>
      </c>
      <c r="E5" t="inlineStr">
        <is>
          <t>ES-IB</t>
        </is>
      </c>
      <c r="F5" t="inlineStr">
        <is>
          <t>Illes Balears</t>
        </is>
      </c>
      <c r="G5" t="inlineStr">
        <is>
          <t>Mallorca</t>
        </is>
      </c>
      <c r="H5" t="inlineStr">
        <is>
          <t>Palma de Mallorca</t>
        </is>
      </c>
      <c r="L5" t="n">
        <v>39.582322</v>
      </c>
      <c r="M5" t="n">
        <v>2.674332</v>
      </c>
      <c r="P5" t="inlineStr">
        <is>
          <t>restaurant</t>
        </is>
      </c>
      <c r="Q5" t="inlineStr">
        <is>
          <t>mediterranea, mallorquina, arroces</t>
        </is>
      </c>
      <c r="R5" t="inlineStr">
        <is>
          <t>€€€</t>
        </is>
      </c>
      <c r="S5" t="inlineStr">
        <is>
          <t>lunch, dinner</t>
        </is>
      </c>
      <c r="T5" t="inlineStr">
        <is>
          <t>pending_verification</t>
        </is>
      </c>
      <c r="W5" t="b">
        <v>0</v>
      </c>
      <c r="X5" t="b">
        <v>0</v>
      </c>
      <c r="Y5" t="inlineStr">
        <is>
          <t>Celiacs Balears</t>
        </is>
      </c>
      <c r="AM5" t="b">
        <v>1</v>
      </c>
      <c r="AN5" t="b">
        <v>0</v>
      </c>
      <c r="AT5" t="inlineStr">
        <is>
          <t>Celiaquita-Quelle beschreibt als 'uno de los mejores restaurantes y más preparados sin gluten de todo Mallorca' mit ausführlicher GF-Karte. UNKLAR ob 100% GF — möglicherweise Mischbetrieb mit umfangreicher GF-Karte. Klärungsbedarf!</t>
        </is>
      </c>
      <c r="AV5" t="inlineStr">
        <is>
          <t>blog_research</t>
        </is>
      </c>
      <c r="AW5" t="inlineStr">
        <is>
          <t>https://www.celiaquita.com/restaurantes-sin-gluten-mallorca/ (Stand 05/2025) — Status 100% UNKLAR.</t>
        </is>
      </c>
      <c r="AX5" t="inlineStr">
        <is>
          <t>2026-04-25</t>
        </is>
      </c>
      <c r="AY5" t="inlineStr">
        <is>
          <t>2026-04-25</t>
        </is>
      </c>
    </row>
    <row r="6" ht="80.09999999999999" customHeight="1">
      <c r="A6" t="inlineStr">
        <is>
          <t>es_ib_005</t>
        </is>
      </c>
      <c r="B6" t="inlineStr">
        <is>
          <t>Gluten Free Café (Palma)</t>
        </is>
      </c>
      <c r="C6" t="inlineStr">
        <is>
          <t>gluten-free-cafe-palma</t>
        </is>
      </c>
      <c r="D6" t="inlineStr">
        <is>
          <t>ES</t>
        </is>
      </c>
      <c r="E6" t="inlineStr">
        <is>
          <t>ES-IB</t>
        </is>
      </c>
      <c r="F6" t="inlineStr">
        <is>
          <t>Illes Balears</t>
        </is>
      </c>
      <c r="G6" t="inlineStr">
        <is>
          <t>Mallorca</t>
        </is>
      </c>
      <c r="H6" t="inlineStr">
        <is>
          <t>Palma de Mallorca</t>
        </is>
      </c>
      <c r="L6" t="n">
        <v>39.582322</v>
      </c>
      <c r="M6" t="n">
        <v>2.674332</v>
      </c>
      <c r="P6" t="inlineStr">
        <is>
          <t>cafe</t>
        </is>
      </c>
      <c r="Q6" t="inlineStr">
        <is>
          <t>saludable</t>
        </is>
      </c>
      <c r="R6" t="inlineStr">
        <is>
          <t>€€</t>
        </is>
      </c>
      <c r="S6" t="inlineStr">
        <is>
          <t>breakfast, brunch</t>
        </is>
      </c>
      <c r="T6" t="inlineStr">
        <is>
          <t>pending_verification</t>
        </is>
      </c>
      <c r="W6" t="b">
        <v>0</v>
      </c>
      <c r="X6" t="b">
        <v>0</v>
      </c>
      <c r="Y6" t="inlineStr">
        <is>
          <t>Celiacs Balears</t>
        </is>
      </c>
      <c r="AM6" t="b">
        <v>1</v>
      </c>
      <c r="AN6" t="b">
        <v>0</v>
      </c>
      <c r="AT6" t="inlineStr">
        <is>
          <t>CeliNews erwähnt 'cafetería 100% sin gluten ideal para desayunar o merendar'. Konkreter Name &amp; Adresse RECHERCHIEREN auf celinews.com/mallorca-sin-gluten-para-celiacos/.</t>
        </is>
      </c>
      <c r="AV6" t="inlineStr">
        <is>
          <t>blog_research</t>
        </is>
      </c>
      <c r="AW6" t="inlineStr">
        <is>
          <t>https://celinews.com/mallorca-sin-gluten-para-celiacos/ — Name unvollständig erfasst, Recherche nötig.</t>
        </is>
      </c>
      <c r="AX6" t="inlineStr">
        <is>
          <t>2026-04-25</t>
        </is>
      </c>
      <c r="AY6" t="inlineStr">
        <is>
          <t>2026-04-25</t>
        </is>
      </c>
    </row>
    <row r="7" ht="80.09999999999999" customHeight="1">
      <c r="A7" t="inlineStr">
        <is>
          <t>es_md_001</t>
        </is>
      </c>
      <c r="B7" t="inlineStr">
        <is>
          <t>As de Bastos</t>
        </is>
      </c>
      <c r="C7" t="inlineStr">
        <is>
          <t>as-de-bastos-madrid</t>
        </is>
      </c>
      <c r="D7" t="inlineStr">
        <is>
          <t>ES</t>
        </is>
      </c>
      <c r="E7" t="inlineStr">
        <is>
          <t>ES-MD</t>
        </is>
      </c>
      <c r="F7" t="inlineStr">
        <is>
          <t>Comunidad de Madrid</t>
        </is>
      </c>
      <c r="G7" t="inlineStr">
        <is>
          <t>Madrid</t>
        </is>
      </c>
      <c r="H7" t="inlineStr">
        <is>
          <t>Madrid</t>
        </is>
      </c>
      <c r="J7" t="inlineStr">
        <is>
          <t>28039</t>
        </is>
      </c>
      <c r="K7" t="inlineStr">
        <is>
          <t>Calle Castilla, 62</t>
        </is>
      </c>
      <c r="L7" t="n">
        <v>40.453183</v>
      </c>
      <c r="M7" t="n">
        <v>-3.707916</v>
      </c>
      <c r="P7" t="inlineStr">
        <is>
          <t>restaurant</t>
        </is>
      </c>
      <c r="Q7" t="inlineStr">
        <is>
          <t>mediterranea, espanola</t>
        </is>
      </c>
      <c r="R7" t="inlineStr">
        <is>
          <t>€€</t>
        </is>
      </c>
      <c r="S7" t="inlineStr">
        <is>
          <t>lunch, dinner</t>
        </is>
      </c>
      <c r="T7" t="inlineStr">
        <is>
          <t>pending_verification</t>
        </is>
      </c>
      <c r="W7" t="b">
        <v>1</v>
      </c>
      <c r="X7" t="b">
        <v>0</v>
      </c>
      <c r="Y7" t="inlineStr">
        <is>
          <t>FACE, ACSG Madrid</t>
        </is>
      </c>
      <c r="Z7" t="inlineStr">
        <is>
          <t>+34917957855</t>
        </is>
      </c>
      <c r="AB7" t="inlineStr">
        <is>
          <t>info@asdebastos.es</t>
        </is>
      </c>
      <c r="AC7" t="inlineStr">
        <is>
          <t>https://www.asdebastos.es</t>
        </is>
      </c>
      <c r="AI7" t="inlineStr">
        <is>
          <t>100% glutenfreies mediterranes Restaurant mit vollständiger GF-Karte.</t>
        </is>
      </c>
      <c r="AJ7" t="inlineStr">
        <is>
          <t>100% gluten-free Mediterranean restaurant. Full menu for coeliacs.</t>
        </is>
      </c>
      <c r="AK7" t="inlineStr">
        <is>
          <t>Restaurante mediterráneo 100% sin gluten. Carta completa adaptada para celíacos.</t>
        </is>
      </c>
      <c r="AM7" t="b">
        <v>1</v>
      </c>
      <c r="AN7" t="b">
        <v>0</v>
      </c>
      <c r="AT7" t="inlineStr">
        <is>
          <t>Mehrfach als '100% sin gluten' bestätigt (ACSG, Madrid Secreto, Saborea Madrid). Inhaber selbst Zöliakie-Betroffener. Standorte: Castilla 62 + Majadahonda. PRÜFEN: aktueller Status.</t>
        </is>
      </c>
      <c r="AV7" t="inlineStr">
        <is>
          <t>regional_association</t>
        </is>
      </c>
      <c r="AW7" t="inlineStr">
        <is>
          <t>ACSG Madrid + saborea-madrid.com + madridsecreto.co (Stand 2025-2026)</t>
        </is>
      </c>
      <c r="AX7" t="inlineStr">
        <is>
          <t>2026-04-25</t>
        </is>
      </c>
      <c r="AY7" t="inlineStr">
        <is>
          <t>2026-04-25</t>
        </is>
      </c>
    </row>
    <row r="8" ht="80.09999999999999" customHeight="1">
      <c r="A8" t="inlineStr">
        <is>
          <t>es_md_002</t>
        </is>
      </c>
      <c r="B8" t="inlineStr">
        <is>
          <t>As de Bastos Majadahonda</t>
        </is>
      </c>
      <c r="C8" t="inlineStr">
        <is>
          <t>as-de-bastos-majadahonda</t>
        </is>
      </c>
      <c r="D8" t="inlineStr">
        <is>
          <t>ES</t>
        </is>
      </c>
      <c r="E8" t="inlineStr">
        <is>
          <t>ES-MD</t>
        </is>
      </c>
      <c r="F8" t="inlineStr">
        <is>
          <t>Comunidad de Madrid</t>
        </is>
      </c>
      <c r="G8" t="inlineStr">
        <is>
          <t>Madrid</t>
        </is>
      </c>
      <c r="H8" t="inlineStr">
        <is>
          <t>Majadahonda</t>
        </is>
      </c>
      <c r="J8" t="inlineStr">
        <is>
          <t>28220</t>
        </is>
      </c>
      <c r="K8" t="inlineStr">
        <is>
          <t>Calle Dr. Bastos, 9</t>
        </is>
      </c>
      <c r="L8" t="n">
        <v>40.472842</v>
      </c>
      <c r="M8" t="n">
        <v>-3.872354</v>
      </c>
      <c r="P8" t="inlineStr">
        <is>
          <t>restaurant</t>
        </is>
      </c>
      <c r="Q8" t="inlineStr">
        <is>
          <t>mediterranea, espanola</t>
        </is>
      </c>
      <c r="R8" t="inlineStr">
        <is>
          <t>€€</t>
        </is>
      </c>
      <c r="S8" t="inlineStr">
        <is>
          <t>lunch, dinner</t>
        </is>
      </c>
      <c r="T8" t="inlineStr">
        <is>
          <t>pending_verification</t>
        </is>
      </c>
      <c r="W8" t="b">
        <v>1</v>
      </c>
      <c r="X8" t="b">
        <v>0</v>
      </c>
      <c r="Y8" t="inlineStr">
        <is>
          <t>FACE, ACSG Madrid</t>
        </is>
      </c>
      <c r="Z8" t="inlineStr">
        <is>
          <t>+34916342256</t>
        </is>
      </c>
      <c r="AB8" t="inlineStr">
        <is>
          <t>info@asdebastos.es</t>
        </is>
      </c>
      <c r="AC8" t="inlineStr">
        <is>
          <t>https://www.asdebastos.es</t>
        </is>
      </c>
      <c r="AI8" t="inlineStr">
        <is>
          <t>100% glutenfreies Restaurant in Majadahonda mit Lieferservice.</t>
        </is>
      </c>
      <c r="AJ8" t="inlineStr">
        <is>
          <t>100% gluten-free restaurant in Majadahonda with delivery.</t>
        </is>
      </c>
      <c r="AK8" t="inlineStr">
        <is>
          <t>Restaurante 100% sin gluten en Majadahonda con servicio a domicilio.</t>
        </is>
      </c>
      <c r="AM8" t="b">
        <v>1</v>
      </c>
      <c r="AN8" t="b">
        <v>0</v>
      </c>
      <c r="AT8" t="inlineStr">
        <is>
          <t>Filiale von As de Bastos in Majadahonda. ACSG-Quelle: 'Avalado 100%, A domicilio'. PRÜFEN.</t>
        </is>
      </c>
      <c r="AV8" t="inlineStr">
        <is>
          <t>regional_association</t>
        </is>
      </c>
      <c r="AW8" t="inlineStr">
        <is>
          <t>ACSG Madrid Verzeichnis (Stand 04/2026)</t>
        </is>
      </c>
      <c r="AX8" t="inlineStr">
        <is>
          <t>2026-04-25</t>
        </is>
      </c>
      <c r="AY8" t="inlineStr">
        <is>
          <t>2026-04-25</t>
        </is>
      </c>
    </row>
    <row r="9" ht="80.09999999999999" customHeight="1">
      <c r="A9" t="inlineStr">
        <is>
          <t>es_md_003</t>
        </is>
      </c>
      <c r="B9" t="inlineStr">
        <is>
          <t>Artemisa Sol</t>
        </is>
      </c>
      <c r="C9" t="inlineStr">
        <is>
          <t>artemisa-sol-madrid</t>
        </is>
      </c>
      <c r="D9" t="inlineStr">
        <is>
          <t>ES</t>
        </is>
      </c>
      <c r="E9" t="inlineStr">
        <is>
          <t>ES-MD</t>
        </is>
      </c>
      <c r="F9" t="inlineStr">
        <is>
          <t>Comunidad de Madrid</t>
        </is>
      </c>
      <c r="G9" t="inlineStr">
        <is>
          <t>Madrid</t>
        </is>
      </c>
      <c r="H9" t="inlineStr">
        <is>
          <t>Madrid</t>
        </is>
      </c>
      <c r="I9" t="inlineStr">
        <is>
          <t>Centro / Sol</t>
        </is>
      </c>
      <c r="J9" t="inlineStr">
        <is>
          <t>28014</t>
        </is>
      </c>
      <c r="K9" t="inlineStr">
        <is>
          <t>Calle de Ventura de la Vega, 4</t>
        </is>
      </c>
      <c r="L9" t="n">
        <v>40.416006</v>
      </c>
      <c r="M9" t="n">
        <v>-3.699049</v>
      </c>
      <c r="P9" t="inlineStr">
        <is>
          <t>restaurant</t>
        </is>
      </c>
      <c r="Q9" t="inlineStr">
        <is>
          <t>vegetariana, vegana, saludable</t>
        </is>
      </c>
      <c r="R9" t="inlineStr">
        <is>
          <t>€€</t>
        </is>
      </c>
      <c r="S9" t="inlineStr">
        <is>
          <t>lunch, dinner</t>
        </is>
      </c>
      <c r="T9" t="inlineStr">
        <is>
          <t>pending_verification</t>
        </is>
      </c>
      <c r="W9" t="b">
        <v>0</v>
      </c>
      <c r="X9" t="b">
        <v>0</v>
      </c>
      <c r="Y9" t="inlineStr">
        <is>
          <t>ACSG Madrid</t>
        </is>
      </c>
      <c r="Z9" t="inlineStr">
        <is>
          <t>+34914295092</t>
        </is>
      </c>
      <c r="AC9" t="inlineStr">
        <is>
          <t>https://restaurantesvegetarianosartemisa.com</t>
        </is>
      </c>
      <c r="AI9" t="inlineStr">
        <is>
          <t>Vegetarisches 100% glutenfreies Restaurant seit 2016. Von ACSG Madrid zertifiziert.</t>
        </is>
      </c>
      <c r="AJ9" t="inlineStr">
        <is>
          <t>Vegetarian 100% gluten-free restaurant since 2016. ACSG Madrid endorsed.</t>
        </is>
      </c>
      <c r="AK9" t="inlineStr">
        <is>
          <t>Restaurante vegetariano 100% sin gluten desde 2016. Avalado por ACSG Madrid.</t>
        </is>
      </c>
      <c r="AM9" t="b">
        <v>1</v>
      </c>
      <c r="AN9" t="b">
        <v>0</v>
      </c>
      <c r="AT9" t="inlineStr">
        <is>
          <t>Vegetarisch + 100% glutenfrei seit 2016, ACSG-zertifiziert. Madrid Secreto + Disfrutando sin Gluten bestätigen. PRÜFEN.</t>
        </is>
      </c>
      <c r="AV9" t="inlineStr">
        <is>
          <t>regional_association</t>
        </is>
      </c>
      <c r="AW9" t="inlineStr">
        <is>
          <t>ACSG Madrid + madridsecreto.co + disfrutandosingluten.es (Stand 2025-2026)</t>
        </is>
      </c>
      <c r="AX9" t="inlineStr">
        <is>
          <t>2026-04-25</t>
        </is>
      </c>
      <c r="AY9" t="inlineStr">
        <is>
          <t>2026-04-25</t>
        </is>
      </c>
    </row>
    <row r="10" ht="80.09999999999999" customHeight="1">
      <c r="A10" t="inlineStr">
        <is>
          <t>es_md_004</t>
        </is>
      </c>
      <c r="B10" t="inlineStr">
        <is>
          <t>Artemisa Tres Cruces</t>
        </is>
      </c>
      <c r="C10" t="inlineStr">
        <is>
          <t>artemisa-tres-cruces-madrid</t>
        </is>
      </c>
      <c r="D10" t="inlineStr">
        <is>
          <t>ES</t>
        </is>
      </c>
      <c r="E10" t="inlineStr">
        <is>
          <t>ES-MD</t>
        </is>
      </c>
      <c r="F10" t="inlineStr">
        <is>
          <t>Comunidad de Madrid</t>
        </is>
      </c>
      <c r="G10" t="inlineStr">
        <is>
          <t>Madrid</t>
        </is>
      </c>
      <c r="H10" t="inlineStr">
        <is>
          <t>Madrid</t>
        </is>
      </c>
      <c r="I10" t="inlineStr">
        <is>
          <t>Centro / Gran Vía</t>
        </is>
      </c>
      <c r="K10" t="inlineStr">
        <is>
          <t>Calle Tres Cruces, 4</t>
        </is>
      </c>
      <c r="L10" t="n">
        <v>40.419224</v>
      </c>
      <c r="M10" t="n">
        <v>-3.702903</v>
      </c>
      <c r="P10" t="inlineStr">
        <is>
          <t>restaurant</t>
        </is>
      </c>
      <c r="Q10" t="inlineStr">
        <is>
          <t>vegetariana, vegana, saludable</t>
        </is>
      </c>
      <c r="R10" t="inlineStr">
        <is>
          <t>€€</t>
        </is>
      </c>
      <c r="S10" t="inlineStr">
        <is>
          <t>lunch, dinner</t>
        </is>
      </c>
      <c r="T10" t="inlineStr">
        <is>
          <t>pending_verification</t>
        </is>
      </c>
      <c r="W10" t="b">
        <v>0</v>
      </c>
      <c r="X10" t="b">
        <v>0</v>
      </c>
      <c r="Y10" t="inlineStr">
        <is>
          <t>ACSG Madrid</t>
        </is>
      </c>
      <c r="AC10" t="inlineStr">
        <is>
          <t>https://restaurantesvegetarianosartemisa.com</t>
        </is>
      </c>
      <c r="AI10" t="inlineStr">
        <is>
          <t>Zweiter Artemisa-Standort, vegetarisch und 100% glutenfrei.</t>
        </is>
      </c>
      <c r="AJ10" t="inlineStr">
        <is>
          <t>Second Artemisa location, vegetarian and 100% gluten-free.</t>
        </is>
      </c>
      <c r="AK10" t="inlineStr">
        <is>
          <t>Segundo local de Artemisa, vegetariano y 100% sin gluten.</t>
        </is>
      </c>
      <c r="AM10" t="b">
        <v>1</v>
      </c>
      <c r="AN10" t="b">
        <v>0</v>
      </c>
      <c r="AT10" t="inlineStr">
        <is>
          <t>Zweiter Standort von Artemisa, ebenfalls 100% GF + vegetarisch. PRÜFEN.</t>
        </is>
      </c>
      <c r="AV10" t="inlineStr">
        <is>
          <t>regional_association</t>
        </is>
      </c>
      <c r="AW10" t="inlineStr">
        <is>
          <t>madridsecreto.co (Stand 2025-2026)</t>
        </is>
      </c>
      <c r="AX10" t="inlineStr">
        <is>
          <t>2026-04-25</t>
        </is>
      </c>
      <c r="AY10" t="inlineStr">
        <is>
          <t>2026-04-25</t>
        </is>
      </c>
    </row>
    <row r="11" ht="80.09999999999999" customHeight="1">
      <c r="A11" t="inlineStr">
        <is>
          <t>es_md_005</t>
        </is>
      </c>
      <c r="B11" t="inlineStr">
        <is>
          <t>Okashi Sanda</t>
        </is>
      </c>
      <c r="C11" t="inlineStr">
        <is>
          <t>okashi-sanda-madrid</t>
        </is>
      </c>
      <c r="D11" t="inlineStr">
        <is>
          <t>ES</t>
        </is>
      </c>
      <c r="E11" t="inlineStr">
        <is>
          <t>ES-MD</t>
        </is>
      </c>
      <c r="F11" t="inlineStr">
        <is>
          <t>Comunidad de Madrid</t>
        </is>
      </c>
      <c r="G11" t="inlineStr">
        <is>
          <t>Madrid</t>
        </is>
      </c>
      <c r="H11" t="inlineStr">
        <is>
          <t>Madrid</t>
        </is>
      </c>
      <c r="I11" t="inlineStr">
        <is>
          <t>Malasaña</t>
        </is>
      </c>
      <c r="L11" t="n">
        <v>40.416782</v>
      </c>
      <c r="M11" t="n">
        <v>-3.703507</v>
      </c>
      <c r="P11" t="inlineStr">
        <is>
          <t>asian_restaurant</t>
        </is>
      </c>
      <c r="Q11" t="inlineStr">
        <is>
          <t>japonesa, vegana</t>
        </is>
      </c>
      <c r="R11" t="inlineStr">
        <is>
          <t>€€</t>
        </is>
      </c>
      <c r="S11" t="inlineStr">
        <is>
          <t>lunch, dinner</t>
        </is>
      </c>
      <c r="T11" t="inlineStr">
        <is>
          <t>pending_verification</t>
        </is>
      </c>
      <c r="W11" t="b">
        <v>1</v>
      </c>
      <c r="X11" t="b">
        <v>0</v>
      </c>
      <c r="Y11" t="inlineStr">
        <is>
          <t>FACE, ACSG Madrid</t>
        </is>
      </c>
      <c r="AI11" t="inlineStr">
        <is>
          <t>Erstes japanisches Restaurant in Madrid, das 100% glutenfrei und laktosefrei zertifiziert ist.</t>
        </is>
      </c>
      <c r="AJ11" t="inlineStr">
        <is>
          <t>First Japanese restaurant in Madrid certified 100% gluten-free and lactose-free.</t>
        </is>
      </c>
      <c r="AK11" t="inlineStr">
        <is>
          <t>Primer restaurante japonés certificado 100% sin gluten y sin lactosa en Madrid.</t>
        </is>
      </c>
      <c r="AM11" t="b">
        <v>1</v>
      </c>
      <c r="AN11" t="b">
        <v>0</v>
      </c>
      <c r="AT11" t="inlineStr">
        <is>
          <t>Erstes japanisches Restaurant in Madrid mit FACE-Zertifizierung 100% GF + lactosefrei. Saborea Madrid + ACSG bestätigen. PRÜFEN: Adresse ergänzen, aktueller Status.</t>
        </is>
      </c>
      <c r="AV11" t="inlineStr">
        <is>
          <t>regional_association</t>
        </is>
      </c>
      <c r="AW11" t="inlineStr">
        <is>
          <t>saborea-madrid.com + madridsecreto.co + ACSG Madrid (Stand 2025-2026)</t>
        </is>
      </c>
      <c r="AX11" t="inlineStr">
        <is>
          <t>2026-04-25</t>
        </is>
      </c>
      <c r="AY11" t="inlineStr">
        <is>
          <t>2026-04-25</t>
        </is>
      </c>
    </row>
    <row r="12" ht="80.09999999999999" customHeight="1">
      <c r="A12" t="inlineStr">
        <is>
          <t>es_md_006</t>
        </is>
      </c>
      <c r="B12" t="inlineStr">
        <is>
          <t>Pizza Natura (Chamberí)</t>
        </is>
      </c>
      <c r="C12" t="inlineStr">
        <is>
          <t>pizza-natura-chamberi</t>
        </is>
      </c>
      <c r="D12" t="inlineStr">
        <is>
          <t>ES</t>
        </is>
      </c>
      <c r="E12" t="inlineStr">
        <is>
          <t>ES-MD</t>
        </is>
      </c>
      <c r="F12" t="inlineStr">
        <is>
          <t>Comunidad de Madrid</t>
        </is>
      </c>
      <c r="G12" t="inlineStr">
        <is>
          <t>Madrid</t>
        </is>
      </c>
      <c r="H12" t="inlineStr">
        <is>
          <t>Madrid</t>
        </is>
      </c>
      <c r="I12" t="inlineStr">
        <is>
          <t>Chamberí</t>
        </is>
      </c>
      <c r="K12" t="inlineStr">
        <is>
          <t>Calle Trafalgar, 8</t>
        </is>
      </c>
      <c r="L12" t="n">
        <v>40.431525</v>
      </c>
      <c r="M12" t="n">
        <v>-3.700306</v>
      </c>
      <c r="P12" t="inlineStr">
        <is>
          <t>pizzeria</t>
        </is>
      </c>
      <c r="Q12" t="inlineStr">
        <is>
          <t>italiana, pizzas, vegana</t>
        </is>
      </c>
      <c r="R12" t="inlineStr">
        <is>
          <t>€€</t>
        </is>
      </c>
      <c r="S12" t="inlineStr">
        <is>
          <t>lunch, dinner</t>
        </is>
      </c>
      <c r="T12" t="inlineStr">
        <is>
          <t>pending_verification</t>
        </is>
      </c>
      <c r="W12" t="b">
        <v>0</v>
      </c>
      <c r="X12" t="b">
        <v>0</v>
      </c>
      <c r="Y12" t="inlineStr">
        <is>
          <t>ACSG Madrid</t>
        </is>
      </c>
      <c r="AI12" t="inlineStr">
        <is>
          <t>100% glutenfreie Pizzeria in Chamberí, auch vegane Optionen.</t>
        </is>
      </c>
      <c r="AJ12" t="inlineStr">
        <is>
          <t>100% gluten-free pizzeria in Chamberí, also vegan options.</t>
        </is>
      </c>
      <c r="AK12" t="inlineStr">
        <is>
          <t>Pizzería 100% sin gluten en Chamberí, también opciones veganas.</t>
        </is>
      </c>
      <c r="AM12" t="b">
        <v>1</v>
      </c>
      <c r="AN12" t="b">
        <v>0</v>
      </c>
      <c r="AT12" t="inlineStr">
        <is>
          <t>Time Out + Celiaquita: 'carta 100% sin gluten, no hay contaminación cruzada posible'. Drei Standorte in Madrid, dieser ist 100% GF. ACSG-zertifiziert. PRÜFEN: andere Standorte separat.</t>
        </is>
      </c>
      <c r="AV12" t="inlineStr">
        <is>
          <t>blog_research</t>
        </is>
      </c>
      <c r="AW12" t="inlineStr">
        <is>
          <t>timeout.es/madrid + celiaquita.com (Stand 2025-2026)</t>
        </is>
      </c>
      <c r="AX12" t="inlineStr">
        <is>
          <t>2026-04-25</t>
        </is>
      </c>
      <c r="AY12" t="inlineStr">
        <is>
          <t>2026-04-25</t>
        </is>
      </c>
    </row>
    <row r="13" ht="80.09999999999999" customHeight="1">
      <c r="A13" t="inlineStr">
        <is>
          <t>es_md_007</t>
        </is>
      </c>
      <c r="B13" t="inlineStr">
        <is>
          <t>LaLina La Latina</t>
        </is>
      </c>
      <c r="C13" t="inlineStr">
        <is>
          <t>lalina-la-latina</t>
        </is>
      </c>
      <c r="D13" t="inlineStr">
        <is>
          <t>ES</t>
        </is>
      </c>
      <c r="E13" t="inlineStr">
        <is>
          <t>ES-MD</t>
        </is>
      </c>
      <c r="F13" t="inlineStr">
        <is>
          <t>Comunidad de Madrid</t>
        </is>
      </c>
      <c r="G13" t="inlineStr">
        <is>
          <t>Madrid</t>
        </is>
      </c>
      <c r="H13" t="inlineStr">
        <is>
          <t>Madrid</t>
        </is>
      </c>
      <c r="I13" t="inlineStr">
        <is>
          <t>La Latina</t>
        </is>
      </c>
      <c r="L13" t="n">
        <v>40.416782</v>
      </c>
      <c r="M13" t="n">
        <v>-3.703507</v>
      </c>
      <c r="P13" t="inlineStr">
        <is>
          <t>bar_tapas</t>
        </is>
      </c>
      <c r="Q13" t="inlineStr">
        <is>
          <t>tapas, espanola</t>
        </is>
      </c>
      <c r="R13" t="inlineStr">
        <is>
          <t>€€</t>
        </is>
      </c>
      <c r="S13" t="inlineStr">
        <is>
          <t>lunch, dinner, snacks</t>
        </is>
      </c>
      <c r="T13" t="inlineStr">
        <is>
          <t>pending_verification</t>
        </is>
      </c>
      <c r="W13" t="b">
        <v>0</v>
      </c>
      <c r="X13" t="b">
        <v>0</v>
      </c>
      <c r="Y13" t="inlineStr">
        <is>
          <t>ACSG Madrid</t>
        </is>
      </c>
      <c r="AI13" t="inlineStr">
        <is>
          <t>100% glutenfreie Tapas-Bar in La Latina, Spezialität: Patatas Bravas.</t>
        </is>
      </c>
      <c r="AJ13" t="inlineStr">
        <is>
          <t>100% gluten-free tapas bar in La Latina, specialty: patatas bravas.</t>
        </is>
      </c>
      <c r="AK13" t="inlineStr">
        <is>
          <t>Bar de tapas 100% sin gluten en La Latina, especialidad: patatas bravas.</t>
        </is>
      </c>
      <c r="AM13" t="b">
        <v>1</v>
      </c>
      <c r="AN13" t="b">
        <v>0</v>
      </c>
      <c r="AT13" t="inlineStr">
        <is>
          <t>Tapas-Bar 100% GF, ACSG-zertifiziert. Saborea Madrid: 'bar de tapas 100% gluten free justo al lado del Teatro de La Latina'. Zweiter Standort in Chueca. PRÜFEN: Adresse + aktueller Status.</t>
        </is>
      </c>
      <c r="AV13" t="inlineStr">
        <is>
          <t>regional_association</t>
        </is>
      </c>
      <c r="AW13" t="inlineStr">
        <is>
          <t>saborea-madrid.com + disfrutandosingluten.es (Stand 2024-2026)</t>
        </is>
      </c>
      <c r="AX13" t="inlineStr">
        <is>
          <t>2026-04-25</t>
        </is>
      </c>
      <c r="AY13" t="inlineStr">
        <is>
          <t>2026-04-25</t>
        </is>
      </c>
    </row>
    <row r="14" ht="80.09999999999999" customHeight="1">
      <c r="A14" t="inlineStr">
        <is>
          <t>es_md_008</t>
        </is>
      </c>
      <c r="B14" t="inlineStr">
        <is>
          <t>Ardemos Burger</t>
        </is>
      </c>
      <c r="C14" t="inlineStr">
        <is>
          <t>ardemos-burger-madrid</t>
        </is>
      </c>
      <c r="D14" t="inlineStr">
        <is>
          <t>ES</t>
        </is>
      </c>
      <c r="E14" t="inlineStr">
        <is>
          <t>ES-MD</t>
        </is>
      </c>
      <c r="F14" t="inlineStr">
        <is>
          <t>Comunidad de Madrid</t>
        </is>
      </c>
      <c r="G14" t="inlineStr">
        <is>
          <t>Madrid</t>
        </is>
      </c>
      <c r="H14" t="inlineStr">
        <is>
          <t>Madrid</t>
        </is>
      </c>
      <c r="I14" t="inlineStr">
        <is>
          <t>Centro</t>
        </is>
      </c>
      <c r="J14" t="inlineStr">
        <is>
          <t>28004</t>
        </is>
      </c>
      <c r="K14" t="inlineStr">
        <is>
          <t>Calle de Carranza, 4</t>
        </is>
      </c>
      <c r="L14" t="n">
        <v>40.429237</v>
      </c>
      <c r="M14" t="n">
        <v>-3.703924</v>
      </c>
      <c r="P14" t="inlineStr">
        <is>
          <t>burger_joint</t>
        </is>
      </c>
      <c r="Q14" t="inlineStr">
        <is>
          <t>hamburguesas</t>
        </is>
      </c>
      <c r="R14" t="inlineStr">
        <is>
          <t>€€</t>
        </is>
      </c>
      <c r="S14" t="inlineStr">
        <is>
          <t>lunch, dinner</t>
        </is>
      </c>
      <c r="T14" t="inlineStr">
        <is>
          <t>pending_verification</t>
        </is>
      </c>
      <c r="W14" t="b">
        <v>0</v>
      </c>
      <c r="X14" t="b">
        <v>0</v>
      </c>
      <c r="Y14" t="inlineStr">
        <is>
          <t>ACSG Madrid</t>
        </is>
      </c>
      <c r="Z14" t="inlineStr">
        <is>
          <t>+34914916030</t>
        </is>
      </c>
      <c r="AC14" t="inlineStr">
        <is>
          <t>https://ardemosburger.com</t>
        </is>
      </c>
      <c r="AI14" t="inlineStr">
        <is>
          <t>100% glutenfreier Burger-Laden in Madrids Zentrum.</t>
        </is>
      </c>
      <c r="AJ14" t="inlineStr">
        <is>
          <t>100% gluten-free burger joint in central Madrid.</t>
        </is>
      </c>
      <c r="AK14" t="inlineStr">
        <is>
          <t>Hamburguesería 100% sin gluten en el centro de Madrid.</t>
        </is>
      </c>
      <c r="AM14" t="b">
        <v>1</v>
      </c>
      <c r="AN14" t="b">
        <v>0</v>
      </c>
      <c r="AT14" t="inlineStr">
        <is>
          <t>ACSG: 'Hamburguesería 100% sin gluten'. PRÜFEN.</t>
        </is>
      </c>
      <c r="AV14" t="inlineStr">
        <is>
          <t>regional_association</t>
        </is>
      </c>
      <c r="AW14" t="inlineStr">
        <is>
          <t>ACSG Madrid Verzeichnis (Stand 04/2026)</t>
        </is>
      </c>
      <c r="AX14" t="inlineStr">
        <is>
          <t>2026-04-25</t>
        </is>
      </c>
      <c r="AY14" t="inlineStr">
        <is>
          <t>2026-04-25</t>
        </is>
      </c>
    </row>
    <row r="15" ht="80.09999999999999" customHeight="1">
      <c r="A15" t="inlineStr">
        <is>
          <t>es_md_009</t>
        </is>
      </c>
      <c r="B15" t="inlineStr">
        <is>
          <t>Celicioso Huertas</t>
        </is>
      </c>
      <c r="C15" t="inlineStr">
        <is>
          <t>celicioso-huertas</t>
        </is>
      </c>
      <c r="D15" t="inlineStr">
        <is>
          <t>ES</t>
        </is>
      </c>
      <c r="E15" t="inlineStr">
        <is>
          <t>ES-MD</t>
        </is>
      </c>
      <c r="F15" t="inlineStr">
        <is>
          <t>Comunidad de Madrid</t>
        </is>
      </c>
      <c r="G15" t="inlineStr">
        <is>
          <t>Madrid</t>
        </is>
      </c>
      <c r="H15" t="inlineStr">
        <is>
          <t>Madrid</t>
        </is>
      </c>
      <c r="I15" t="inlineStr">
        <is>
          <t>Huertas</t>
        </is>
      </c>
      <c r="J15" t="inlineStr">
        <is>
          <t>28012</t>
        </is>
      </c>
      <c r="K15" t="inlineStr">
        <is>
          <t>Calle de las Huertas, 10</t>
        </is>
      </c>
      <c r="L15" t="n">
        <v>40.413902</v>
      </c>
      <c r="M15" t="n">
        <v>-3.70081</v>
      </c>
      <c r="P15" t="inlineStr">
        <is>
          <t>pastry_shop</t>
        </is>
      </c>
      <c r="Q15" t="inlineStr">
        <is>
          <t>saludable</t>
        </is>
      </c>
      <c r="R15" t="inlineStr">
        <is>
          <t>€€</t>
        </is>
      </c>
      <c r="S15" t="inlineStr">
        <is>
          <t>breakfast, brunch, snacks</t>
        </is>
      </c>
      <c r="T15" t="inlineStr">
        <is>
          <t>pending_verification</t>
        </is>
      </c>
      <c r="W15" t="b">
        <v>0</v>
      </c>
      <c r="X15" t="b">
        <v>0</v>
      </c>
      <c r="Y15" t="inlineStr">
        <is>
          <t>ACSG Madrid</t>
        </is>
      </c>
      <c r="Z15" t="inlineStr">
        <is>
          <t>+34697828235</t>
        </is>
      </c>
      <c r="AC15" t="inlineStr">
        <is>
          <t>https://celicioso.shop</t>
        </is>
      </c>
      <c r="AI15" t="inlineStr">
        <is>
          <t>100% glutenfreie Bäckerei und Café in Huertas.</t>
        </is>
      </c>
      <c r="AJ15" t="inlineStr">
        <is>
          <t>100% gluten-free bakery and café in Huertas.</t>
        </is>
      </c>
      <c r="AK15" t="inlineStr">
        <is>
          <t>Pastelería y cafetería 100% sin gluten en Huertas.</t>
        </is>
      </c>
      <c r="AM15" t="b">
        <v>1</v>
      </c>
      <c r="AN15" t="b">
        <v>0</v>
      </c>
      <c r="AT15" t="inlineStr">
        <is>
          <t>ACSG-Quelle: 'Avalado 100% — Gluten free bakery. Todos sus productos son aptos para celiacos'. Mehrere Standorte (Huertas, Barquillo, Callao, Barcelona Diagonal). PRÜFEN.</t>
        </is>
      </c>
      <c r="AV15" t="inlineStr">
        <is>
          <t>regional_association</t>
        </is>
      </c>
      <c r="AW15" t="inlineStr">
        <is>
          <t>ACSG Madrid Verzeichnis (Stand 04/2026)</t>
        </is>
      </c>
      <c r="AX15" t="inlineStr">
        <is>
          <t>2026-04-25</t>
        </is>
      </c>
      <c r="AY15" t="inlineStr">
        <is>
          <t>2026-04-25</t>
        </is>
      </c>
    </row>
    <row r="16" ht="80.09999999999999" customHeight="1">
      <c r="A16" t="inlineStr">
        <is>
          <t>es_md_010</t>
        </is>
      </c>
      <c r="B16" t="inlineStr">
        <is>
          <t>Celicioso Barquillo</t>
        </is>
      </c>
      <c r="C16" t="inlineStr">
        <is>
          <t>celicioso-barquillo</t>
        </is>
      </c>
      <c r="D16" t="inlineStr">
        <is>
          <t>ES</t>
        </is>
      </c>
      <c r="E16" t="inlineStr">
        <is>
          <t>ES-MD</t>
        </is>
      </c>
      <c r="F16" t="inlineStr">
        <is>
          <t>Comunidad de Madrid</t>
        </is>
      </c>
      <c r="G16" t="inlineStr">
        <is>
          <t>Madrid</t>
        </is>
      </c>
      <c r="H16" t="inlineStr">
        <is>
          <t>Madrid</t>
        </is>
      </c>
      <c r="I16" t="inlineStr">
        <is>
          <t>Chueca</t>
        </is>
      </c>
      <c r="J16" t="inlineStr">
        <is>
          <t>28004</t>
        </is>
      </c>
      <c r="K16" t="inlineStr">
        <is>
          <t>Calle Barquillo, 19</t>
        </is>
      </c>
      <c r="L16" t="n">
        <v>40.422064</v>
      </c>
      <c r="M16" t="n">
        <v>-3.695695</v>
      </c>
      <c r="P16" t="inlineStr">
        <is>
          <t>pastry_shop</t>
        </is>
      </c>
      <c r="Q16" t="inlineStr">
        <is>
          <t>saludable</t>
        </is>
      </c>
      <c r="R16" t="inlineStr">
        <is>
          <t>€€</t>
        </is>
      </c>
      <c r="S16" t="inlineStr">
        <is>
          <t>breakfast, brunch, snacks</t>
        </is>
      </c>
      <c r="T16" t="inlineStr">
        <is>
          <t>pending_verification</t>
        </is>
      </c>
      <c r="W16" t="b">
        <v>0</v>
      </c>
      <c r="X16" t="b">
        <v>0</v>
      </c>
      <c r="Y16" t="inlineStr">
        <is>
          <t>ACSG Madrid</t>
        </is>
      </c>
      <c r="Z16" t="inlineStr">
        <is>
          <t>+34915322899</t>
        </is>
      </c>
      <c r="AC16" t="inlineStr">
        <is>
          <t>https://celicioso.shop</t>
        </is>
      </c>
      <c r="AI16" t="inlineStr">
        <is>
          <t>100% glutenfreie Bäckerei in Chueca.</t>
        </is>
      </c>
      <c r="AJ16" t="inlineStr">
        <is>
          <t>100% gluten-free bakery in Chueca.</t>
        </is>
      </c>
      <c r="AK16" t="inlineStr">
        <is>
          <t>Pastelería 100% sin gluten en Chueca.</t>
        </is>
      </c>
      <c r="AM16" t="b">
        <v>1</v>
      </c>
      <c r="AN16" t="b">
        <v>0</v>
      </c>
      <c r="AT16" t="inlineStr">
        <is>
          <t>Filiale Celicioso. ACSG: 'Avalado 100%'. PRÜFEN.</t>
        </is>
      </c>
      <c r="AV16" t="inlineStr">
        <is>
          <t>regional_association</t>
        </is>
      </c>
      <c r="AW16" t="inlineStr">
        <is>
          <t>ACSG Madrid Verzeichnis (Stand 04/2026)</t>
        </is>
      </c>
      <c r="AX16" t="inlineStr">
        <is>
          <t>2026-04-25</t>
        </is>
      </c>
      <c r="AY16" t="inlineStr">
        <is>
          <t>2026-04-25</t>
        </is>
      </c>
    </row>
    <row r="17" ht="80.09999999999999" customHeight="1">
      <c r="A17" t="inlineStr">
        <is>
          <t>es_md_011</t>
        </is>
      </c>
      <c r="B17" t="inlineStr">
        <is>
          <t>Celicioso Callao (El Corte Inglés)</t>
        </is>
      </c>
      <c r="C17" t="inlineStr">
        <is>
          <t>celicioso-callao</t>
        </is>
      </c>
      <c r="D17" t="inlineStr">
        <is>
          <t>ES</t>
        </is>
      </c>
      <c r="E17" t="inlineStr">
        <is>
          <t>ES-MD</t>
        </is>
      </c>
      <c r="F17" t="inlineStr">
        <is>
          <t>Comunidad de Madrid</t>
        </is>
      </c>
      <c r="G17" t="inlineStr">
        <is>
          <t>Madrid</t>
        </is>
      </c>
      <c r="H17" t="inlineStr">
        <is>
          <t>Madrid</t>
        </is>
      </c>
      <c r="I17" t="inlineStr">
        <is>
          <t>Callao</t>
        </is>
      </c>
      <c r="J17" t="inlineStr">
        <is>
          <t>28009</t>
        </is>
      </c>
      <c r="K17" t="inlineStr">
        <is>
          <t>Plaza del Callao, 2, 9ª planta El Corte Inglés</t>
        </is>
      </c>
      <c r="L17" t="n">
        <v>40.416782</v>
      </c>
      <c r="M17" t="n">
        <v>-3.703507</v>
      </c>
      <c r="P17" t="inlineStr">
        <is>
          <t>pastry_shop</t>
        </is>
      </c>
      <c r="Q17" t="inlineStr">
        <is>
          <t>saludable</t>
        </is>
      </c>
      <c r="R17" t="inlineStr">
        <is>
          <t>€€</t>
        </is>
      </c>
      <c r="S17" t="inlineStr">
        <is>
          <t>lunch, snacks</t>
        </is>
      </c>
      <c r="T17" t="inlineStr">
        <is>
          <t>pending_verification</t>
        </is>
      </c>
      <c r="W17" t="b">
        <v>0</v>
      </c>
      <c r="X17" t="b">
        <v>0</v>
      </c>
      <c r="Y17" t="inlineStr">
        <is>
          <t>ACSG Madrid</t>
        </is>
      </c>
      <c r="AC17" t="inlineStr">
        <is>
          <t>https://celicioso.shop</t>
        </is>
      </c>
      <c r="AI17" t="inlineStr">
        <is>
          <t>Celicioso im 9. Stock von El Corte Inglés Callao, 100% glutenfrei.</t>
        </is>
      </c>
      <c r="AJ17" t="inlineStr">
        <is>
          <t>Celicioso on the 9th floor of El Corte Inglés Callao, 100% gluten-free.</t>
        </is>
      </c>
      <c r="AK17" t="inlineStr">
        <is>
          <t>Celicioso en la 9ª planta de El Corte Inglés Callao, 100% sin gluten.</t>
        </is>
      </c>
      <c r="AM17" t="b">
        <v>1</v>
      </c>
      <c r="AN17" t="b">
        <v>0</v>
      </c>
      <c r="AT17" t="inlineStr">
        <is>
          <t>Celicioso-Filiale im Corte Inglés. ACSG: 'Avalado 100%'. PRÜFEN.</t>
        </is>
      </c>
      <c r="AV17" t="inlineStr">
        <is>
          <t>regional_association</t>
        </is>
      </c>
      <c r="AW17" t="inlineStr">
        <is>
          <t>ACSG Madrid Verzeichnis (Stand 04/2026)</t>
        </is>
      </c>
      <c r="AX17" t="inlineStr">
        <is>
          <t>2026-04-25</t>
        </is>
      </c>
      <c r="AY17" t="inlineStr">
        <is>
          <t>2026-04-25</t>
        </is>
      </c>
    </row>
    <row r="18" ht="80.09999999999999" customHeight="1">
      <c r="A18" t="inlineStr">
        <is>
          <t>es_md_012</t>
        </is>
      </c>
      <c r="B18" t="inlineStr">
        <is>
          <t>La Celiacoteca Madrid</t>
        </is>
      </c>
      <c r="C18" t="inlineStr">
        <is>
          <t>la-celiacoteca-madrid</t>
        </is>
      </c>
      <c r="D18" t="inlineStr">
        <is>
          <t>ES</t>
        </is>
      </c>
      <c r="E18" t="inlineStr">
        <is>
          <t>ES-MD</t>
        </is>
      </c>
      <c r="F18" t="inlineStr">
        <is>
          <t>Comunidad de Madrid</t>
        </is>
      </c>
      <c r="G18" t="inlineStr">
        <is>
          <t>Madrid</t>
        </is>
      </c>
      <c r="H18" t="inlineStr">
        <is>
          <t>Madrid</t>
        </is>
      </c>
      <c r="K18" t="inlineStr">
        <is>
          <t>C/ Eraso, 3</t>
        </is>
      </c>
      <c r="L18" t="n">
        <v>40.433545</v>
      </c>
      <c r="M18" t="n">
        <v>-3.672392</v>
      </c>
      <c r="P18" t="inlineStr">
        <is>
          <t>pastry_shop</t>
        </is>
      </c>
      <c r="Q18" t="inlineStr">
        <is>
          <t>saludable</t>
        </is>
      </c>
      <c r="R18" t="inlineStr">
        <is>
          <t>€€</t>
        </is>
      </c>
      <c r="S18" t="inlineStr">
        <is>
          <t>snacks</t>
        </is>
      </c>
      <c r="T18" t="inlineStr">
        <is>
          <t>pending_verification</t>
        </is>
      </c>
      <c r="W18" t="b">
        <v>0</v>
      </c>
      <c r="X18" t="b">
        <v>0</v>
      </c>
      <c r="AI18" t="inlineStr">
        <is>
          <t>Konditorei mit 100% glutenfreien Kreationen.</t>
        </is>
      </c>
      <c r="AJ18" t="inlineStr">
        <is>
          <t>Bakery with 100% gluten-free creations.</t>
        </is>
      </c>
      <c r="AK18" t="inlineStr">
        <is>
          <t>Pastelería con elaboraciones 100% sin gluten.</t>
        </is>
      </c>
      <c r="AM18" t="b">
        <v>1</v>
      </c>
      <c r="AN18" t="b">
        <v>0</v>
      </c>
      <c r="AT18" t="inlineStr">
        <is>
          <t>unbuendiaenmadrid.com: 'pastelería donde todas sus elaboraciones son 100% sin gluten'. Auch Standort in Alcalá de Henares. PRÜFEN.</t>
        </is>
      </c>
      <c r="AV18" t="inlineStr">
        <is>
          <t>blog_research</t>
        </is>
      </c>
      <c r="AW18" t="inlineStr">
        <is>
          <t>unbuendiaenmadrid.com (Stand 03/2026)</t>
        </is>
      </c>
      <c r="AX18" t="inlineStr">
        <is>
          <t>2026-04-25</t>
        </is>
      </c>
      <c r="AY18" t="inlineStr">
        <is>
          <t>2026-04-25</t>
        </is>
      </c>
    </row>
    <row r="19" ht="80.09999999999999" customHeight="1">
      <c r="A19" t="inlineStr">
        <is>
          <t>es_md_013</t>
        </is>
      </c>
      <c r="B19" t="inlineStr">
        <is>
          <t>La Celiacoteca Alcalá</t>
        </is>
      </c>
      <c r="C19" t="inlineStr">
        <is>
          <t>la-celiacoteca-alcala</t>
        </is>
      </c>
      <c r="D19" t="inlineStr">
        <is>
          <t>ES</t>
        </is>
      </c>
      <c r="E19" t="inlineStr">
        <is>
          <t>ES-MD</t>
        </is>
      </c>
      <c r="F19" t="inlineStr">
        <is>
          <t>Comunidad de Madrid</t>
        </is>
      </c>
      <c r="G19" t="inlineStr">
        <is>
          <t>Madrid</t>
        </is>
      </c>
      <c r="H19" t="inlineStr">
        <is>
          <t>Alcalá de Henares</t>
        </is>
      </c>
      <c r="K19" t="inlineStr">
        <is>
          <t>C/ Talamanca, 3</t>
        </is>
      </c>
      <c r="L19" t="n">
        <v>40.485907</v>
      </c>
      <c r="M19" t="n">
        <v>-3.366175</v>
      </c>
      <c r="P19" t="inlineStr">
        <is>
          <t>pastry_shop</t>
        </is>
      </c>
      <c r="Q19" t="inlineStr">
        <is>
          <t>saludable</t>
        </is>
      </c>
      <c r="R19" t="inlineStr">
        <is>
          <t>€€</t>
        </is>
      </c>
      <c r="S19" t="inlineStr">
        <is>
          <t>snacks</t>
        </is>
      </c>
      <c r="T19" t="inlineStr">
        <is>
          <t>pending_verification</t>
        </is>
      </c>
      <c r="W19" t="b">
        <v>0</v>
      </c>
      <c r="X19" t="b">
        <v>0</v>
      </c>
      <c r="AM19" t="b">
        <v>1</v>
      </c>
      <c r="AN19" t="b">
        <v>0</v>
      </c>
      <c r="AT19" t="inlineStr">
        <is>
          <t>Filiale La Celiacoteca, 100% GF. PRÜFEN.</t>
        </is>
      </c>
      <c r="AV19" t="inlineStr">
        <is>
          <t>blog_research</t>
        </is>
      </c>
      <c r="AW19" t="inlineStr">
        <is>
          <t>unbuendiaenmadrid.com (Stand 03/2026)</t>
        </is>
      </c>
      <c r="AX19" t="inlineStr">
        <is>
          <t>2026-04-25</t>
        </is>
      </c>
      <c r="AY19" t="inlineStr">
        <is>
          <t>2026-04-25</t>
        </is>
      </c>
    </row>
    <row r="20" ht="80.09999999999999" customHeight="1">
      <c r="A20" t="inlineStr">
        <is>
          <t>es_md_014</t>
        </is>
      </c>
      <c r="B20" t="inlineStr">
        <is>
          <t>Kaktus</t>
        </is>
      </c>
      <c r="C20" t="inlineStr">
        <is>
          <t>kaktus-madrid</t>
        </is>
      </c>
      <c r="D20" t="inlineStr">
        <is>
          <t>ES</t>
        </is>
      </c>
      <c r="E20" t="inlineStr">
        <is>
          <t>ES-MD</t>
        </is>
      </c>
      <c r="F20" t="inlineStr">
        <is>
          <t>Comunidad de Madrid</t>
        </is>
      </c>
      <c r="G20" t="inlineStr">
        <is>
          <t>Madrid</t>
        </is>
      </c>
      <c r="H20" t="inlineStr">
        <is>
          <t>Madrid</t>
        </is>
      </c>
      <c r="L20" t="n">
        <v>40.416782</v>
      </c>
      <c r="M20" t="n">
        <v>-3.703507</v>
      </c>
      <c r="P20" t="inlineStr">
        <is>
          <t>restaurant</t>
        </is>
      </c>
      <c r="Q20" t="inlineStr">
        <is>
          <t>internacional, hamburguesas</t>
        </is>
      </c>
      <c r="R20" t="inlineStr">
        <is>
          <t>€€</t>
        </is>
      </c>
      <c r="S20" t="inlineStr">
        <is>
          <t>lunch, dinner</t>
        </is>
      </c>
      <c r="T20" t="inlineStr">
        <is>
          <t>pending_verification</t>
        </is>
      </c>
      <c r="W20" t="b">
        <v>0</v>
      </c>
      <c r="X20" t="b">
        <v>0</v>
      </c>
      <c r="AB20" t="inlineStr">
        <is>
          <t>kaktus@kaktusbeer.com</t>
        </is>
      </c>
      <c r="AC20" t="inlineStr">
        <is>
          <t>https://www.kaktusbeer.com</t>
        </is>
      </c>
      <c r="AI20" t="inlineStr">
        <is>
          <t>100% glutenfreies Restaurant mit eigener Craft-Brauerei.</t>
        </is>
      </c>
      <c r="AJ20" t="inlineStr">
        <is>
          <t>100% gluten-free restaurant with own craft brewery.</t>
        </is>
      </c>
      <c r="AK20" t="inlineStr">
        <is>
          <t>Restaurante 100% sin gluten con cervecería artesana propia.</t>
        </is>
      </c>
      <c r="AM20" t="b">
        <v>1</v>
      </c>
      <c r="AN20" t="b">
        <v>0</v>
      </c>
      <c r="AT20" t="inlineStr">
        <is>
          <t>Eigene Webseite: 'restaurante 100% sin gluten Kaktus'. Eigene Brauerei mit GF-Bier. PRÜFEN: Adresse, aktueller Status.</t>
        </is>
      </c>
      <c r="AV20" t="inlineStr">
        <is>
          <t>official_website</t>
        </is>
      </c>
      <c r="AW20" t="inlineStr">
        <is>
          <t>https://www.kaktusbeer.com/restaurante-sin-gluten-madrid/ (Stand 03/2025)</t>
        </is>
      </c>
      <c r="AX20" t="inlineStr">
        <is>
          <t>2026-04-25</t>
        </is>
      </c>
      <c r="AY20" t="inlineStr">
        <is>
          <t>2026-04-25</t>
        </is>
      </c>
    </row>
    <row r="21" ht="80.09999999999999" customHeight="1">
      <c r="A21" t="inlineStr">
        <is>
          <t>es_md_015</t>
        </is>
      </c>
      <c r="B21" t="inlineStr">
        <is>
          <t>Los Carnales</t>
        </is>
      </c>
      <c r="C21" t="inlineStr">
        <is>
          <t>los-carnales-madrid</t>
        </is>
      </c>
      <c r="D21" t="inlineStr">
        <is>
          <t>ES</t>
        </is>
      </c>
      <c r="E21" t="inlineStr">
        <is>
          <t>ES-MD</t>
        </is>
      </c>
      <c r="F21" t="inlineStr">
        <is>
          <t>Comunidad de Madrid</t>
        </is>
      </c>
      <c r="G21" t="inlineStr">
        <is>
          <t>Madrid</t>
        </is>
      </c>
      <c r="H21" t="inlineStr">
        <is>
          <t>Madrid</t>
        </is>
      </c>
      <c r="I21" t="inlineStr">
        <is>
          <t>Moncloa-Aravaca</t>
        </is>
      </c>
      <c r="J21" t="inlineStr">
        <is>
          <t>28008</t>
        </is>
      </c>
      <c r="K21" t="inlineStr">
        <is>
          <t>C. de Martín de los Heros, 4, BAJO A</t>
        </is>
      </c>
      <c r="L21" t="n">
        <v>40.416782</v>
      </c>
      <c r="M21" t="n">
        <v>-3.703507</v>
      </c>
      <c r="P21" t="inlineStr">
        <is>
          <t>restaurant</t>
        </is>
      </c>
      <c r="Q21" t="inlineStr">
        <is>
          <t>mexicana</t>
        </is>
      </c>
      <c r="R21" t="inlineStr">
        <is>
          <t>€€</t>
        </is>
      </c>
      <c r="S21" t="inlineStr">
        <is>
          <t>lunch, dinner</t>
        </is>
      </c>
      <c r="T21" t="inlineStr">
        <is>
          <t>pending_verification</t>
        </is>
      </c>
      <c r="W21" t="b">
        <v>0</v>
      </c>
      <c r="X21" t="b">
        <v>0</v>
      </c>
      <c r="Y21" t="inlineStr">
        <is>
          <t>ACSG Madrid</t>
        </is>
      </c>
      <c r="AI21" t="inlineStr">
        <is>
          <t>100% glutenfreies mexikanisches Restaurant in Moncloa.</t>
        </is>
      </c>
      <c r="AJ21" t="inlineStr">
        <is>
          <t>100% gluten-free Mexican restaurant in Moncloa.</t>
        </is>
      </c>
      <c r="AK21" t="inlineStr">
        <is>
          <t>Restaurante mexicano 100% sin gluten en Moncloa.</t>
        </is>
      </c>
      <c r="AM21" t="b">
        <v>1</v>
      </c>
      <c r="AN21" t="b">
        <v>0</v>
      </c>
      <c r="AT21" t="inlineStr">
        <is>
          <t>Celiaquita: 'carta 100% sin gluten y certificados por la Asociación de Celíacos de Madrid'. Mexikanisch. PRÜFEN.</t>
        </is>
      </c>
      <c r="AV21" t="inlineStr">
        <is>
          <t>blog_research</t>
        </is>
      </c>
      <c r="AW21" t="inlineStr">
        <is>
          <t>celiaquita.com (Stand 11/2025)</t>
        </is>
      </c>
      <c r="AX21" t="inlineStr">
        <is>
          <t>2026-04-25</t>
        </is>
      </c>
      <c r="AY21" t="inlineStr">
        <is>
          <t>2026-04-25</t>
        </is>
      </c>
    </row>
    <row r="22" ht="80.09999999999999" customHeight="1">
      <c r="A22" t="inlineStr">
        <is>
          <t>es_md_016</t>
        </is>
      </c>
      <c r="B22" t="inlineStr">
        <is>
          <t>El Llagar (Asturiano)</t>
        </is>
      </c>
      <c r="C22" t="inlineStr">
        <is>
          <t>el-llagar-ferraz-madrid</t>
        </is>
      </c>
      <c r="D22" t="inlineStr">
        <is>
          <t>ES</t>
        </is>
      </c>
      <c r="E22" t="inlineStr">
        <is>
          <t>ES-MD</t>
        </is>
      </c>
      <c r="F22" t="inlineStr">
        <is>
          <t>Comunidad de Madrid</t>
        </is>
      </c>
      <c r="G22" t="inlineStr">
        <is>
          <t>Madrid</t>
        </is>
      </c>
      <c r="H22" t="inlineStr">
        <is>
          <t>Madrid</t>
        </is>
      </c>
      <c r="K22" t="inlineStr">
        <is>
          <t>Calle Ferraz</t>
        </is>
      </c>
      <c r="L22" t="n">
        <v>40.489157</v>
      </c>
      <c r="M22" t="n">
        <v>-3.36205</v>
      </c>
      <c r="P22" t="inlineStr">
        <is>
          <t>restaurant</t>
        </is>
      </c>
      <c r="Q22" t="inlineStr">
        <is>
          <t>espanola, asturiana</t>
        </is>
      </c>
      <c r="R22" t="inlineStr">
        <is>
          <t>€€</t>
        </is>
      </c>
      <c r="S22" t="inlineStr">
        <is>
          <t>lunch, dinner</t>
        </is>
      </c>
      <c r="T22" t="inlineStr">
        <is>
          <t>pending_verification</t>
        </is>
      </c>
      <c r="W22" t="b">
        <v>0</v>
      </c>
      <c r="X22" t="b">
        <v>0</v>
      </c>
      <c r="AI22" t="inlineStr">
        <is>
          <t>100% glutenfreies asturisches Restaurant.</t>
        </is>
      </c>
      <c r="AJ22" t="inlineStr">
        <is>
          <t>100% gluten-free Asturian restaurant.</t>
        </is>
      </c>
      <c r="AK22" t="inlineStr">
        <is>
          <t>Restaurante de comida asturiana 100% sin gluten.</t>
        </is>
      </c>
      <c r="AM22" t="b">
        <v>1</v>
      </c>
      <c r="AN22" t="b">
        <v>0</v>
      </c>
      <c r="AT22" t="inlineStr">
        <is>
          <t>Disfrutando sin Gluten: '2023 abrió en Ferraz este restaurante de comida asturiana 100% sin gluten'. PRÜFEN: Hausnummer, aktueller Status.</t>
        </is>
      </c>
      <c r="AV22" t="inlineStr">
        <is>
          <t>blog_research</t>
        </is>
      </c>
      <c r="AW22" t="inlineStr">
        <is>
          <t>disfrutandosingluten.es (Stand 09/2024)</t>
        </is>
      </c>
      <c r="AX22" t="inlineStr">
        <is>
          <t>2026-04-25</t>
        </is>
      </c>
      <c r="AY22" t="inlineStr">
        <is>
          <t>2026-04-25</t>
        </is>
      </c>
    </row>
    <row r="23" ht="80.09999999999999" customHeight="1">
      <c r="A23" t="inlineStr">
        <is>
          <t>es_md_017</t>
        </is>
      </c>
      <c r="B23" t="inlineStr">
        <is>
          <t>Alter Café</t>
        </is>
      </c>
      <c r="C23" t="inlineStr">
        <is>
          <t>alter-cafe-madrid</t>
        </is>
      </c>
      <c r="D23" t="inlineStr">
        <is>
          <t>ES</t>
        </is>
      </c>
      <c r="E23" t="inlineStr">
        <is>
          <t>ES-MD</t>
        </is>
      </c>
      <c r="F23" t="inlineStr">
        <is>
          <t>Comunidad de Madrid</t>
        </is>
      </c>
      <c r="G23" t="inlineStr">
        <is>
          <t>Madrid</t>
        </is>
      </c>
      <c r="H23" t="inlineStr">
        <is>
          <t>Madrid</t>
        </is>
      </c>
      <c r="I23" t="inlineStr">
        <is>
          <t>La Latina</t>
        </is>
      </c>
      <c r="L23" t="n">
        <v>40.416782</v>
      </c>
      <c r="M23" t="n">
        <v>-3.703507</v>
      </c>
      <c r="P23" t="inlineStr">
        <is>
          <t>cafe</t>
        </is>
      </c>
      <c r="Q23" t="inlineStr">
        <is>
          <t>saludable, vegana</t>
        </is>
      </c>
      <c r="R23" t="inlineStr">
        <is>
          <t>€</t>
        </is>
      </c>
      <c r="S23" t="inlineStr">
        <is>
          <t>breakfast, brunch, snacks</t>
        </is>
      </c>
      <c r="T23" t="inlineStr">
        <is>
          <t>pending_verification</t>
        </is>
      </c>
      <c r="W23" t="b">
        <v>0</v>
      </c>
      <c r="X23" t="b">
        <v>0</v>
      </c>
      <c r="Y23" t="inlineStr">
        <is>
          <t>ACSG Madrid</t>
        </is>
      </c>
      <c r="AI23" t="inlineStr">
        <is>
          <t>100% glutenfreies Café mit veganen Optionen in La Latina.</t>
        </is>
      </c>
      <c r="AJ23" t="inlineStr">
        <is>
          <t>100% gluten-free café with vegan options in La Latina.</t>
        </is>
      </c>
      <c r="AK23" t="inlineStr">
        <is>
          <t>Cafetería 100% sin gluten con opciones veganas en La Latina.</t>
        </is>
      </c>
      <c r="AM23" t="b">
        <v>1</v>
      </c>
      <c r="AN23" t="b">
        <v>0</v>
      </c>
      <c r="AT23" t="inlineStr">
        <is>
          <t>Disfrutando sin Gluten: 'pequeña cafetería donde todo es sin gluten y tienen opciones veganas' nahe La Latina. PRÜFEN: Adresse.</t>
        </is>
      </c>
      <c r="AV23" t="inlineStr">
        <is>
          <t>blog_research</t>
        </is>
      </c>
      <c r="AW23" t="inlineStr">
        <is>
          <t>disfrutandosingluten.es (Stand 09/2024)</t>
        </is>
      </c>
      <c r="AX23" t="inlineStr">
        <is>
          <t>2026-04-25</t>
        </is>
      </c>
      <c r="AY23" t="inlineStr">
        <is>
          <t>2026-04-25</t>
        </is>
      </c>
    </row>
    <row r="24" ht="80.09999999999999" customHeight="1">
      <c r="A24" t="inlineStr">
        <is>
          <t>es_ct_001</t>
        </is>
      </c>
      <c r="B24" t="inlineStr">
        <is>
          <t>En Ville Restaurant</t>
        </is>
      </c>
      <c r="C24" t="inlineStr">
        <is>
          <t>en-ville-barcelona</t>
        </is>
      </c>
      <c r="D24" t="inlineStr">
        <is>
          <t>ES</t>
        </is>
      </c>
      <c r="E24" t="inlineStr">
        <is>
          <t>ES-CT</t>
        </is>
      </c>
      <c r="F24" t="inlineStr">
        <is>
          <t>Cataluña</t>
        </is>
      </c>
      <c r="G24" t="inlineStr">
        <is>
          <t>Barcelona</t>
        </is>
      </c>
      <c r="H24" t="inlineStr">
        <is>
          <t>Barcelona</t>
        </is>
      </c>
      <c r="I24" t="inlineStr">
        <is>
          <t>Raval</t>
        </is>
      </c>
      <c r="L24" t="n">
        <v>41.38258</v>
      </c>
      <c r="M24" t="n">
        <v>2.177073</v>
      </c>
      <c r="P24" t="inlineStr">
        <is>
          <t>restaurant</t>
        </is>
      </c>
      <c r="Q24" t="inlineStr">
        <is>
          <t>catalana, mediterranea</t>
        </is>
      </c>
      <c r="R24" t="inlineStr">
        <is>
          <t>€€€</t>
        </is>
      </c>
      <c r="S24" t="inlineStr">
        <is>
          <t>lunch, dinner</t>
        </is>
      </c>
      <c r="T24" t="inlineStr">
        <is>
          <t>pending_verification</t>
        </is>
      </c>
      <c r="W24" t="b">
        <v>0</v>
      </c>
      <c r="X24" t="b">
        <v>0</v>
      </c>
      <c r="Y24" t="inlineStr">
        <is>
          <t>Celiacs Catalunya</t>
        </is>
      </c>
      <c r="AC24" t="inlineStr">
        <is>
          <t>https://www.envillebarcelona.es</t>
        </is>
      </c>
      <c r="AI24" t="inlineStr">
        <is>
          <t>100% glutenfreies Restaurant im Raval, kreative katalanische Küche.</t>
        </is>
      </c>
      <c r="AJ24" t="inlineStr">
        <is>
          <t>100% gluten-free restaurant in Raval, creative Catalan cuisine.</t>
        </is>
      </c>
      <c r="AK24" t="inlineStr">
        <is>
          <t>Restaurante 100% sin gluten en el Raval, cocina catalana creativa.</t>
        </is>
      </c>
      <c r="AM24" t="b">
        <v>1</v>
      </c>
      <c r="AN24" t="b">
        <v>0</v>
      </c>
      <c r="AT24" t="inlineStr">
        <is>
          <t>Eigene Webseite: '100% gluten-free menu', 'specialists in 100% gluten-free dishes'. Historisches Gebäude von 1877 (Rafael Guastavino). PRÜFEN: Adresse + Telefon.</t>
        </is>
      </c>
      <c r="AV24" t="inlineStr">
        <is>
          <t>official_website</t>
        </is>
      </c>
      <c r="AW24" t="inlineStr">
        <is>
          <t>envillebarcelona.es (Stand 08/2025)</t>
        </is>
      </c>
      <c r="AX24" t="inlineStr">
        <is>
          <t>2026-04-25</t>
        </is>
      </c>
      <c r="AY24" t="inlineStr">
        <is>
          <t>2026-04-25</t>
        </is>
      </c>
    </row>
    <row r="25" ht="80.09999999999999" customHeight="1">
      <c r="A25" t="inlineStr">
        <is>
          <t>es_ct_002</t>
        </is>
      </c>
      <c r="B25" t="inlineStr">
        <is>
          <t>Messié Sin Gluten</t>
        </is>
      </c>
      <c r="C25" t="inlineStr">
        <is>
          <t>messie-sin-gluten-barcelona</t>
        </is>
      </c>
      <c r="D25" t="inlineStr">
        <is>
          <t>ES</t>
        </is>
      </c>
      <c r="E25" t="inlineStr">
        <is>
          <t>ES-CT</t>
        </is>
      </c>
      <c r="F25" t="inlineStr">
        <is>
          <t>Cataluña</t>
        </is>
      </c>
      <c r="G25" t="inlineStr">
        <is>
          <t>Barcelona</t>
        </is>
      </c>
      <c r="H25" t="inlineStr">
        <is>
          <t>Barcelona</t>
        </is>
      </c>
      <c r="L25" t="n">
        <v>41.38258</v>
      </c>
      <c r="M25" t="n">
        <v>2.177073</v>
      </c>
      <c r="P25" t="inlineStr">
        <is>
          <t>pizzeria</t>
        </is>
      </c>
      <c r="Q25" t="inlineStr">
        <is>
          <t>italiana, pizzas</t>
        </is>
      </c>
      <c r="R25" t="inlineStr">
        <is>
          <t>€€</t>
        </is>
      </c>
      <c r="S25" t="inlineStr">
        <is>
          <t>lunch, dinner</t>
        </is>
      </c>
      <c r="T25" t="inlineStr">
        <is>
          <t>pending_verification</t>
        </is>
      </c>
      <c r="W25" t="b">
        <v>0</v>
      </c>
      <c r="X25" t="b">
        <v>0</v>
      </c>
      <c r="Y25" t="inlineStr">
        <is>
          <t>Celiacs Catalunya</t>
        </is>
      </c>
      <c r="AI25" t="inlineStr">
        <is>
          <t>100% glutenfreie italienische Pizzeria in Barcelona.</t>
        </is>
      </c>
      <c r="AJ25" t="inlineStr">
        <is>
          <t>100% gluten-free Italian pizzeria in Barcelona.</t>
        </is>
      </c>
      <c r="AK25" t="inlineStr">
        <is>
          <t>Pizzería italiana 100% sin gluten en Barcelona.</t>
        </is>
      </c>
      <c r="AM25" t="b">
        <v>1</v>
      </c>
      <c r="AN25" t="b">
        <v>0</v>
      </c>
      <c r="AT25" t="inlineStr">
        <is>
          <t>Marchando Viaje: 'Messié Gluten Free, 100% sin gluten'. Mehrfach in Quellen erwähnt. PRÜFEN: Adresse, aktueller Status.</t>
        </is>
      </c>
      <c r="AV25" t="inlineStr">
        <is>
          <t>blog_research</t>
        </is>
      </c>
      <c r="AW25" t="inlineStr">
        <is>
          <t>marchandoviaje.com + barcelonaglutenfree.com (Stand 04/2026)</t>
        </is>
      </c>
      <c r="AX25" t="inlineStr">
        <is>
          <t>2026-04-25</t>
        </is>
      </c>
      <c r="AY25" t="inlineStr">
        <is>
          <t>2026-04-25</t>
        </is>
      </c>
    </row>
    <row r="26" ht="80.09999999999999" customHeight="1">
      <c r="A26" t="inlineStr">
        <is>
          <t>es_ct_003</t>
        </is>
      </c>
      <c r="B26" t="inlineStr">
        <is>
          <t>Manioca</t>
        </is>
      </c>
      <c r="C26" t="inlineStr">
        <is>
          <t>manioca-barcelona</t>
        </is>
      </c>
      <c r="D26" t="inlineStr">
        <is>
          <t>ES</t>
        </is>
      </c>
      <c r="E26" t="inlineStr">
        <is>
          <t>ES-CT</t>
        </is>
      </c>
      <c r="F26" t="inlineStr">
        <is>
          <t>Cataluña</t>
        </is>
      </c>
      <c r="G26" t="inlineStr">
        <is>
          <t>Barcelona</t>
        </is>
      </c>
      <c r="H26" t="inlineStr">
        <is>
          <t>Barcelona</t>
        </is>
      </c>
      <c r="L26" t="n">
        <v>41.38258</v>
      </c>
      <c r="M26" t="n">
        <v>2.177073</v>
      </c>
      <c r="P26" t="inlineStr">
        <is>
          <t>restaurant</t>
        </is>
      </c>
      <c r="Q26" t="inlineStr">
        <is>
          <t>brasileña</t>
        </is>
      </c>
      <c r="R26" t="inlineStr">
        <is>
          <t>€€</t>
        </is>
      </c>
      <c r="S26" t="inlineStr">
        <is>
          <t>lunch, dinner</t>
        </is>
      </c>
      <c r="T26" t="inlineStr">
        <is>
          <t>pending_verification</t>
        </is>
      </c>
      <c r="W26" t="b">
        <v>0</v>
      </c>
      <c r="X26" t="b">
        <v>0</v>
      </c>
      <c r="AI26" t="inlineStr">
        <is>
          <t>100% glutenfreies brasilianisches Restaurant.</t>
        </is>
      </c>
      <c r="AJ26" t="inlineStr">
        <is>
          <t>100% gluten-free Brazilian restaurant.</t>
        </is>
      </c>
      <c r="AK26" t="inlineStr">
        <is>
          <t>Restaurante brasileño 100% sin gluten.</t>
        </is>
      </c>
      <c r="AM26" t="b">
        <v>1</v>
      </c>
      <c r="AN26" t="b">
        <v>0</v>
      </c>
      <c r="AT26" t="inlineStr">
        <is>
          <t>Marchando Viaje: 'Restaurante brasileño 100% sin gluten'. Bloggerin selbst noch nicht ausprobiert. PRÜFEN.</t>
        </is>
      </c>
      <c r="AV26" t="inlineStr">
        <is>
          <t>blog_research</t>
        </is>
      </c>
      <c r="AW26" t="inlineStr">
        <is>
          <t>marchandoviaje.com (Stand 04/2026)</t>
        </is>
      </c>
      <c r="AX26" t="inlineStr">
        <is>
          <t>2026-04-25</t>
        </is>
      </c>
      <c r="AY26" t="inlineStr">
        <is>
          <t>2026-04-25</t>
        </is>
      </c>
    </row>
    <row r="27" ht="80.09999999999999" customHeight="1">
      <c r="A27" t="inlineStr">
        <is>
          <t>es_ct_004</t>
        </is>
      </c>
      <c r="B27" t="inlineStr">
        <is>
          <t>M2 Gluten Free</t>
        </is>
      </c>
      <c r="C27" t="inlineStr">
        <is>
          <t>m2-gluten-free-barcelona</t>
        </is>
      </c>
      <c r="D27" t="inlineStr">
        <is>
          <t>ES</t>
        </is>
      </c>
      <c r="E27" t="inlineStr">
        <is>
          <t>ES-CT</t>
        </is>
      </c>
      <c r="F27" t="inlineStr">
        <is>
          <t>Cataluña</t>
        </is>
      </c>
      <c r="G27" t="inlineStr">
        <is>
          <t>Barcelona</t>
        </is>
      </c>
      <c r="H27" t="inlineStr">
        <is>
          <t>Barcelona</t>
        </is>
      </c>
      <c r="L27" t="n">
        <v>41.38258</v>
      </c>
      <c r="M27" t="n">
        <v>2.177073</v>
      </c>
      <c r="P27" t="inlineStr">
        <is>
          <t>restaurant</t>
        </is>
      </c>
      <c r="Q27" t="inlineStr">
        <is>
          <t>internacional, italiana, asiatica</t>
        </is>
      </c>
      <c r="R27" t="inlineStr">
        <is>
          <t>€€</t>
        </is>
      </c>
      <c r="S27" t="inlineStr">
        <is>
          <t>lunch, dinner</t>
        </is>
      </c>
      <c r="T27" t="inlineStr">
        <is>
          <t>pending_verification</t>
        </is>
      </c>
      <c r="W27" t="b">
        <v>0</v>
      </c>
      <c r="X27" t="b">
        <v>0</v>
      </c>
      <c r="AI27" t="inlineStr">
        <is>
          <t>100% glutenfreies Restaurant mit internationaler Küche (Pizza, Pasta, Asiatisch).</t>
        </is>
      </c>
      <c r="AJ27" t="inlineStr">
        <is>
          <t>100% gluten-free restaurant with international cuisine (pizza, pasta, Asian).</t>
        </is>
      </c>
      <c r="AK27" t="inlineStr">
        <is>
          <t>Restaurante 100% sin gluten con cocina internacional (pizza, pasta, asiática).</t>
        </is>
      </c>
      <c r="AM27" t="b">
        <v>1</v>
      </c>
      <c r="AN27" t="b">
        <v>0</v>
      </c>
      <c r="AT27" t="inlineStr">
        <is>
          <t>Marchando Viaje: 'con un poco de todo, pizza, pasta, opciones asiáticas... 100% sin gluten'. PRÜFEN: Adresse, aktueller Status.</t>
        </is>
      </c>
      <c r="AV27" t="inlineStr">
        <is>
          <t>blog_research</t>
        </is>
      </c>
      <c r="AW27" t="inlineStr">
        <is>
          <t>marchandoviaje.com (Stand 04/2026)</t>
        </is>
      </c>
      <c r="AX27" t="inlineStr">
        <is>
          <t>2026-04-25</t>
        </is>
      </c>
      <c r="AY27" t="inlineStr">
        <is>
          <t>2026-04-25</t>
        </is>
      </c>
    </row>
    <row r="28" ht="80.09999999999999" customHeight="1">
      <c r="A28" t="inlineStr">
        <is>
          <t>es_ct_005</t>
        </is>
      </c>
      <c r="B28" t="inlineStr">
        <is>
          <t>Kobe (Sushi 100% sin gluten)</t>
        </is>
      </c>
      <c r="C28" t="inlineStr">
        <is>
          <t>kobe-sushi-barcelona</t>
        </is>
      </c>
      <c r="D28" t="inlineStr">
        <is>
          <t>ES</t>
        </is>
      </c>
      <c r="E28" t="inlineStr">
        <is>
          <t>ES-CT</t>
        </is>
      </c>
      <c r="F28" t="inlineStr">
        <is>
          <t>Cataluña</t>
        </is>
      </c>
      <c r="G28" t="inlineStr">
        <is>
          <t>Barcelona</t>
        </is>
      </c>
      <c r="H28" t="inlineStr">
        <is>
          <t>Barcelona</t>
        </is>
      </c>
      <c r="L28" t="n">
        <v>41.38258</v>
      </c>
      <c r="M28" t="n">
        <v>2.177073</v>
      </c>
      <c r="P28" t="inlineStr">
        <is>
          <t>asian_restaurant</t>
        </is>
      </c>
      <c r="Q28" t="inlineStr">
        <is>
          <t>japonesa, sushi</t>
        </is>
      </c>
      <c r="R28" t="inlineStr">
        <is>
          <t>€€€</t>
        </is>
      </c>
      <c r="S28" t="inlineStr">
        <is>
          <t>lunch, dinner</t>
        </is>
      </c>
      <c r="T28" t="inlineStr">
        <is>
          <t>pending_verification</t>
        </is>
      </c>
      <c r="W28" t="b">
        <v>0</v>
      </c>
      <c r="X28" t="b">
        <v>0</v>
      </c>
      <c r="AI28" t="inlineStr">
        <is>
          <t>100% glutenfreies japanisches Restaurant in Barcelona.</t>
        </is>
      </c>
      <c r="AJ28" t="inlineStr">
        <is>
          <t>100% gluten-free Japanese restaurant in Barcelona.</t>
        </is>
      </c>
      <c r="AK28" t="inlineStr">
        <is>
          <t>Restaurante japonés 100% sin gluten en Barcelona.</t>
        </is>
      </c>
      <c r="AM28" t="b">
        <v>1</v>
      </c>
      <c r="AN28" t="b">
        <v>0</v>
      </c>
      <c r="AT28" t="inlineStr">
        <is>
          <t>Marchando Viaje: 'Nuevo japonés 100% sin gluten en Barcelona'. PRÜFEN: Adresse, aktueller Status.</t>
        </is>
      </c>
      <c r="AV28" t="inlineStr">
        <is>
          <t>blog_research</t>
        </is>
      </c>
      <c r="AW28" t="inlineStr">
        <is>
          <t>marchandoviaje.com (Stand 04/2026)</t>
        </is>
      </c>
      <c r="AX28" t="inlineStr">
        <is>
          <t>2026-04-25</t>
        </is>
      </c>
      <c r="AY28" t="inlineStr">
        <is>
          <t>2026-04-25</t>
        </is>
      </c>
    </row>
    <row r="29" ht="80.09999999999999" customHeight="1">
      <c r="A29" t="inlineStr">
        <is>
          <t>es_ct_006</t>
        </is>
      </c>
      <c r="B29" t="inlineStr">
        <is>
          <t>Veganashi</t>
        </is>
      </c>
      <c r="C29" t="inlineStr">
        <is>
          <t>veganashi-barcelona</t>
        </is>
      </c>
      <c r="D29" t="inlineStr">
        <is>
          <t>ES</t>
        </is>
      </c>
      <c r="E29" t="inlineStr">
        <is>
          <t>ES-CT</t>
        </is>
      </c>
      <c r="F29" t="inlineStr">
        <is>
          <t>Cataluña</t>
        </is>
      </c>
      <c r="G29" t="inlineStr">
        <is>
          <t>Barcelona</t>
        </is>
      </c>
      <c r="H29" t="inlineStr">
        <is>
          <t>Barcelona</t>
        </is>
      </c>
      <c r="L29" t="n">
        <v>41.38258</v>
      </c>
      <c r="M29" t="n">
        <v>2.177073</v>
      </c>
      <c r="P29" t="inlineStr">
        <is>
          <t>asian_restaurant</t>
        </is>
      </c>
      <c r="Q29" t="inlineStr">
        <is>
          <t>japonesa, sushi, vegana</t>
        </is>
      </c>
      <c r="R29" t="inlineStr">
        <is>
          <t>€€</t>
        </is>
      </c>
      <c r="S29" t="inlineStr">
        <is>
          <t>lunch, dinner</t>
        </is>
      </c>
      <c r="T29" t="inlineStr">
        <is>
          <t>pending_verification</t>
        </is>
      </c>
      <c r="W29" t="b">
        <v>0</v>
      </c>
      <c r="X29" t="b">
        <v>0</v>
      </c>
      <c r="AI29" t="inlineStr">
        <is>
          <t>100% glutenfreies und 100% veganes Sushi.</t>
        </is>
      </c>
      <c r="AJ29" t="inlineStr">
        <is>
          <t>100% gluten-free and 100% vegan sushi.</t>
        </is>
      </c>
      <c r="AK29" t="inlineStr">
        <is>
          <t>Sushi 100% sin gluten y 100% vegano.</t>
        </is>
      </c>
      <c r="AM29" t="b">
        <v>1</v>
      </c>
      <c r="AN29" t="b">
        <v>0</v>
      </c>
      <c r="AT29" t="inlineStr">
        <is>
          <t>Marchando Viaje: 'Sushi 100% sin gluten y vegano'. PRÜFEN: Adresse.</t>
        </is>
      </c>
      <c r="AV29" t="inlineStr">
        <is>
          <t>blog_research</t>
        </is>
      </c>
      <c r="AW29" t="inlineStr">
        <is>
          <t>marchandoviaje.com (Stand 04/2026)</t>
        </is>
      </c>
      <c r="AX29" t="inlineStr">
        <is>
          <t>2026-04-25</t>
        </is>
      </c>
      <c r="AY29" t="inlineStr">
        <is>
          <t>2026-04-25</t>
        </is>
      </c>
    </row>
    <row r="30" ht="80.09999999999999" customHeight="1">
      <c r="A30" t="inlineStr">
        <is>
          <t>es_ct_007</t>
        </is>
      </c>
      <c r="B30" t="inlineStr">
        <is>
          <t>A Vocados Free</t>
        </is>
      </c>
      <c r="C30" t="inlineStr">
        <is>
          <t>a-vocados-free-barcelona</t>
        </is>
      </c>
      <c r="D30" t="inlineStr">
        <is>
          <t>ES</t>
        </is>
      </c>
      <c r="E30" t="inlineStr">
        <is>
          <t>ES-CT</t>
        </is>
      </c>
      <c r="F30" t="inlineStr">
        <is>
          <t>Cataluña</t>
        </is>
      </c>
      <c r="G30" t="inlineStr">
        <is>
          <t>Barcelona</t>
        </is>
      </c>
      <c r="H30" t="inlineStr">
        <is>
          <t>Barcelona</t>
        </is>
      </c>
      <c r="I30" t="inlineStr">
        <is>
          <t>Eixample</t>
        </is>
      </c>
      <c r="K30" t="inlineStr">
        <is>
          <t>Carrer Enric Granados</t>
        </is>
      </c>
      <c r="L30" t="n">
        <v>41.3852</v>
      </c>
      <c r="M30" t="n">
        <v>1.997837</v>
      </c>
      <c r="P30" t="inlineStr">
        <is>
          <t>restaurant</t>
        </is>
      </c>
      <c r="Q30" t="inlineStr">
        <is>
          <t>saludable, vegana</t>
        </is>
      </c>
      <c r="R30" t="inlineStr">
        <is>
          <t>€€</t>
        </is>
      </c>
      <c r="S30" t="inlineStr">
        <is>
          <t>brunch, lunch</t>
        </is>
      </c>
      <c r="T30" t="inlineStr">
        <is>
          <t>pending_verification</t>
        </is>
      </c>
      <c r="W30" t="b">
        <v>0</v>
      </c>
      <c r="X30" t="b">
        <v>0</v>
      </c>
      <c r="Y30" t="inlineStr">
        <is>
          <t>Celiacs Catalunya</t>
        </is>
      </c>
      <c r="AI30" t="inlineStr">
        <is>
          <t>100% glutenfreies Restaurant im Eixample.</t>
        </is>
      </c>
      <c r="AJ30" t="inlineStr">
        <is>
          <t>100% gluten-free restaurant in Eixample.</t>
        </is>
      </c>
      <c r="AK30" t="inlineStr">
        <is>
          <t>Restaurante 100% sin gluten en Eixample.</t>
        </is>
      </c>
      <c r="AM30" t="b">
        <v>1</v>
      </c>
      <c r="AN30" t="b">
        <v>0</v>
      </c>
      <c r="AT30" t="inlineStr">
        <is>
          <t>Barcelona Gluten Free Blog: 'restaurante 100% sin gluten' in C/Enric Granados. PRÜFEN: Hausnummer, aktueller Status.</t>
        </is>
      </c>
      <c r="AV30" t="inlineStr">
        <is>
          <t>blog_research</t>
        </is>
      </c>
      <c r="AW30" t="inlineStr">
        <is>
          <t>barcelonaglutenfree.com (Stand 2024)</t>
        </is>
      </c>
      <c r="AX30" t="inlineStr">
        <is>
          <t>2026-04-25</t>
        </is>
      </c>
      <c r="AY30" t="inlineStr">
        <is>
          <t>2026-04-25</t>
        </is>
      </c>
    </row>
    <row r="31" ht="80.09999999999999" customHeight="1">
      <c r="A31" t="inlineStr">
        <is>
          <t>es_ct_008</t>
        </is>
      </c>
      <c r="B31" t="inlineStr">
        <is>
          <t>Let It V</t>
        </is>
      </c>
      <c r="C31" t="inlineStr">
        <is>
          <t>let-it-v-barcelona</t>
        </is>
      </c>
      <c r="D31" t="inlineStr">
        <is>
          <t>ES</t>
        </is>
      </c>
      <c r="E31" t="inlineStr">
        <is>
          <t>ES-CT</t>
        </is>
      </c>
      <c r="F31" t="inlineStr">
        <is>
          <t>Cataluña</t>
        </is>
      </c>
      <c r="G31" t="inlineStr">
        <is>
          <t>Barcelona</t>
        </is>
      </c>
      <c r="H31" t="inlineStr">
        <is>
          <t>Barcelona</t>
        </is>
      </c>
      <c r="I31" t="inlineStr">
        <is>
          <t>Eixample</t>
        </is>
      </c>
      <c r="K31" t="inlineStr">
        <is>
          <t>Calle Casanova</t>
        </is>
      </c>
      <c r="L31" t="n">
        <v>41.38258</v>
      </c>
      <c r="M31" t="n">
        <v>2.177073</v>
      </c>
      <c r="P31" t="inlineStr">
        <is>
          <t>restaurant</t>
        </is>
      </c>
      <c r="Q31" t="inlineStr">
        <is>
          <t>vegana, internacional</t>
        </is>
      </c>
      <c r="R31" t="inlineStr">
        <is>
          <t>€€</t>
        </is>
      </c>
      <c r="S31" t="inlineStr">
        <is>
          <t>lunch, dinner</t>
        </is>
      </c>
      <c r="T31" t="inlineStr">
        <is>
          <t>pending_verification</t>
        </is>
      </c>
      <c r="W31" t="b">
        <v>0</v>
      </c>
      <c r="X31" t="b">
        <v>0</v>
      </c>
      <c r="Y31" t="inlineStr">
        <is>
          <t>Celiacs Catalunya</t>
        </is>
      </c>
      <c r="AI31" t="inlineStr">
        <is>
          <t>100% veganes und 100% glutenfreies Restaurant nahe Francesc Macià.</t>
        </is>
      </c>
      <c r="AJ31" t="inlineStr">
        <is>
          <t>100% vegan and 100% gluten-free restaurant near Francesc Macià.</t>
        </is>
      </c>
      <c r="AK31" t="inlineStr">
        <is>
          <t>Restaurante 100% vegano y 100% sin gluten cerca de Francesc Macià.</t>
        </is>
      </c>
      <c r="AM31" t="b">
        <v>1</v>
      </c>
      <c r="AN31" t="b">
        <v>0</v>
      </c>
      <c r="AT31" t="inlineStr">
        <is>
          <t>Barcelona Gluten Free Blog: 'sitio donde toda la carta es vegana y 100% sin gluten' + Celiacs de Catalunya zertifiziert. PRÜFEN: Hausnummer.</t>
        </is>
      </c>
      <c r="AV31" t="inlineStr">
        <is>
          <t>regional_association</t>
        </is>
      </c>
      <c r="AW31" t="inlineStr">
        <is>
          <t>barcelonaglutenfree.com + Celiacs Catalunya (Stand 2024)</t>
        </is>
      </c>
      <c r="AX31" t="inlineStr">
        <is>
          <t>2026-04-25</t>
        </is>
      </c>
      <c r="AY31" t="inlineStr">
        <is>
          <t>2026-04-25</t>
        </is>
      </c>
    </row>
    <row r="32" ht="80.09999999999999" customHeight="1">
      <c r="A32" t="inlineStr">
        <is>
          <t>es_ct_009</t>
        </is>
      </c>
      <c r="B32" t="inlineStr">
        <is>
          <t>Pötstöt</t>
        </is>
      </c>
      <c r="C32" t="inlineStr">
        <is>
          <t>potstot-barcelona</t>
        </is>
      </c>
      <c r="D32" t="inlineStr">
        <is>
          <t>ES</t>
        </is>
      </c>
      <c r="E32" t="inlineStr">
        <is>
          <t>ES-CT</t>
        </is>
      </c>
      <c r="F32" t="inlineStr">
        <is>
          <t>Cataluña</t>
        </is>
      </c>
      <c r="G32" t="inlineStr">
        <is>
          <t>Barcelona</t>
        </is>
      </c>
      <c r="H32" t="inlineStr">
        <is>
          <t>Barcelona</t>
        </is>
      </c>
      <c r="L32" t="n">
        <v>41.38258</v>
      </c>
      <c r="M32" t="n">
        <v>2.177073</v>
      </c>
      <c r="P32" t="inlineStr">
        <is>
          <t>restaurant</t>
        </is>
      </c>
      <c r="Q32" t="inlineStr">
        <is>
          <t>internacional</t>
        </is>
      </c>
      <c r="R32" t="inlineStr">
        <is>
          <t>€€</t>
        </is>
      </c>
      <c r="S32" t="inlineStr">
        <is>
          <t>lunch, dinner</t>
        </is>
      </c>
      <c r="T32" t="inlineStr">
        <is>
          <t>pending_verification</t>
        </is>
      </c>
      <c r="W32" t="b">
        <v>0</v>
      </c>
      <c r="X32" t="b">
        <v>0</v>
      </c>
      <c r="AI32" t="inlineStr">
        <is>
          <t>100% glutenfreies Restaurant in Barcelona.</t>
        </is>
      </c>
      <c r="AJ32" t="inlineStr">
        <is>
          <t>100% gluten-free restaurant in Barcelona.</t>
        </is>
      </c>
      <c r="AK32" t="inlineStr">
        <is>
          <t>Restaurante 100% sin gluten en Barcelona.</t>
        </is>
      </c>
      <c r="AM32" t="b">
        <v>1</v>
      </c>
      <c r="AN32" t="b">
        <v>0</v>
      </c>
      <c r="AT32" t="inlineStr">
        <is>
          <t>Barcelona Gluten Free Blog: 'es un sitio 100% sin gluten'. PRÜFEN: Adresse, Konzept.</t>
        </is>
      </c>
      <c r="AV32" t="inlineStr">
        <is>
          <t>blog_research</t>
        </is>
      </c>
      <c r="AW32" t="inlineStr">
        <is>
          <t>barcelonaglutenfree.com</t>
        </is>
      </c>
      <c r="AX32" t="inlineStr">
        <is>
          <t>2026-04-25</t>
        </is>
      </c>
      <c r="AY32" t="inlineStr">
        <is>
          <t>2026-04-25</t>
        </is>
      </c>
    </row>
    <row r="33" ht="80.09999999999999" customHeight="1">
      <c r="A33" t="inlineStr">
        <is>
          <t>es_ct_010</t>
        </is>
      </c>
      <c r="B33" t="inlineStr">
        <is>
          <t>Pizza Natura Pau Claris</t>
        </is>
      </c>
      <c r="C33" t="inlineStr">
        <is>
          <t>pizza-natura-pau-claris-barcelona</t>
        </is>
      </c>
      <c r="D33" t="inlineStr">
        <is>
          <t>ES</t>
        </is>
      </c>
      <c r="E33" t="inlineStr">
        <is>
          <t>ES-CT</t>
        </is>
      </c>
      <c r="F33" t="inlineStr">
        <is>
          <t>Cataluña</t>
        </is>
      </c>
      <c r="G33" t="inlineStr">
        <is>
          <t>Barcelona</t>
        </is>
      </c>
      <c r="H33" t="inlineStr">
        <is>
          <t>Barcelona</t>
        </is>
      </c>
      <c r="I33" t="inlineStr">
        <is>
          <t>Eixample</t>
        </is>
      </c>
      <c r="K33" t="inlineStr">
        <is>
          <t>Carrer Pau Claris, 153</t>
        </is>
      </c>
      <c r="L33" t="n">
        <v>41.913786</v>
      </c>
      <c r="M33" t="n">
        <v>2.230258</v>
      </c>
      <c r="P33" t="inlineStr">
        <is>
          <t>pizzeria</t>
        </is>
      </c>
      <c r="Q33" t="inlineStr">
        <is>
          <t>italiana, pizzas, vegana</t>
        </is>
      </c>
      <c r="R33" t="inlineStr">
        <is>
          <t>€€</t>
        </is>
      </c>
      <c r="S33" t="inlineStr">
        <is>
          <t>lunch, dinner</t>
        </is>
      </c>
      <c r="T33" t="inlineStr">
        <is>
          <t>pending_verification</t>
        </is>
      </c>
      <c r="W33" t="b">
        <v>0</v>
      </c>
      <c r="X33" t="b">
        <v>0</v>
      </c>
      <c r="AI33" t="inlineStr">
        <is>
          <t>100% glutenfreie Pizzeria mit veganen Optionen.</t>
        </is>
      </c>
      <c r="AJ33" t="inlineStr">
        <is>
          <t>100% gluten-free pizzeria with vegan options.</t>
        </is>
      </c>
      <c r="AK33" t="inlineStr">
        <is>
          <t>Pizzería 100% sin gluten con opciones veganas.</t>
        </is>
      </c>
      <c r="AM33" t="b">
        <v>1</v>
      </c>
      <c r="AN33" t="b">
        <v>0</v>
      </c>
      <c r="AT33" t="inlineStr">
        <is>
          <t>Happy Celiac: '2023 Pizza Natura, amb tots els plats i postres son lliures de gluten'. PRÜFEN: aktueller Status.</t>
        </is>
      </c>
      <c r="AV33" t="inlineStr">
        <is>
          <t>blog_research</t>
        </is>
      </c>
      <c r="AW33" t="inlineStr">
        <is>
          <t>happyceliac.com (Stand 2023, evtl. veraltet)</t>
        </is>
      </c>
      <c r="AX33" t="inlineStr">
        <is>
          <t>2026-04-25</t>
        </is>
      </c>
      <c r="AY33" t="inlineStr">
        <is>
          <t>2026-04-25</t>
        </is>
      </c>
    </row>
    <row r="34" ht="80.09999999999999" customHeight="1">
      <c r="A34" t="inlineStr">
        <is>
          <t>es_ct_011</t>
        </is>
      </c>
      <c r="B34" t="inlineStr">
        <is>
          <t>Chök BCN Ramelleres</t>
        </is>
      </c>
      <c r="C34" t="inlineStr">
        <is>
          <t>chok-ramelleres-barcelona</t>
        </is>
      </c>
      <c r="D34" t="inlineStr">
        <is>
          <t>ES</t>
        </is>
      </c>
      <c r="E34" t="inlineStr">
        <is>
          <t>ES-CT</t>
        </is>
      </c>
      <c r="F34" t="inlineStr">
        <is>
          <t>Cataluña</t>
        </is>
      </c>
      <c r="G34" t="inlineStr">
        <is>
          <t>Barcelona</t>
        </is>
      </c>
      <c r="H34" t="inlineStr">
        <is>
          <t>Barcelona</t>
        </is>
      </c>
      <c r="I34" t="inlineStr">
        <is>
          <t>Ciutat Vella</t>
        </is>
      </c>
      <c r="J34" t="inlineStr">
        <is>
          <t>08001</t>
        </is>
      </c>
      <c r="K34" t="inlineStr">
        <is>
          <t>C/ Ramelleres, 26</t>
        </is>
      </c>
      <c r="L34" t="n">
        <v>41.384658</v>
      </c>
      <c r="M34" t="n">
        <v>2.168323</v>
      </c>
      <c r="P34" t="inlineStr">
        <is>
          <t>pastry_shop</t>
        </is>
      </c>
      <c r="Q34" t="inlineStr">
        <is>
          <t>saludable</t>
        </is>
      </c>
      <c r="R34" t="inlineStr">
        <is>
          <t>€€</t>
        </is>
      </c>
      <c r="S34" t="inlineStr">
        <is>
          <t>snacks</t>
        </is>
      </c>
      <c r="T34" t="inlineStr">
        <is>
          <t>pending_verification</t>
        </is>
      </c>
      <c r="W34" t="b">
        <v>0</v>
      </c>
      <c r="X34" t="b">
        <v>0</v>
      </c>
      <c r="Z34" t="inlineStr">
        <is>
          <t>+34936817849</t>
        </is>
      </c>
      <c r="AC34" t="inlineStr">
        <is>
          <t>https://www.chok.shop</t>
        </is>
      </c>
      <c r="AI34" t="inlineStr">
        <is>
          <t>100% glutenfreie Konditorei (nur diese Filiale; andere Chök-Standorte enthalten Gluten).</t>
        </is>
      </c>
      <c r="AJ34" t="inlineStr">
        <is>
          <t>100% gluten-free bakery (only this branch; other Chök locations contain gluten).</t>
        </is>
      </c>
      <c r="AK34" t="inlineStr">
        <is>
          <t>Pastelería 100% sin gluten (solo este local; otros Chök tienen gluten).</t>
        </is>
      </c>
      <c r="AM34" t="b">
        <v>1</v>
      </c>
      <c r="AN34" t="b">
        <v>0</v>
      </c>
      <c r="AT34" t="inlineStr">
        <is>
          <t>ACHTUNG: Chök hat mehrere Filialen, NUR die in Ramelleres ist 100% GF. Andere Filialen führen Gluten. Happy Celiac warnt explizit. PRÜFEN: ist diese Filiale weiterhin geöffnet?</t>
        </is>
      </c>
      <c r="AV34" t="inlineStr">
        <is>
          <t>blog_research</t>
        </is>
      </c>
      <c r="AW34" t="inlineStr">
        <is>
          <t>happyceliac.com (Stand 2023). WICHTIG: nur Ramelleres-Filiale!</t>
        </is>
      </c>
      <c r="AX34" t="inlineStr">
        <is>
          <t>2026-04-25</t>
        </is>
      </c>
      <c r="AY34" t="inlineStr">
        <is>
          <t>2026-04-25</t>
        </is>
      </c>
    </row>
    <row r="35" ht="80.09999999999999" customHeight="1">
      <c r="A35" t="inlineStr">
        <is>
          <t>es_ct_012</t>
        </is>
      </c>
      <c r="B35" t="inlineStr">
        <is>
          <t>BanAnna Cakes</t>
        </is>
      </c>
      <c r="C35" t="inlineStr">
        <is>
          <t>bananna-cakes-barcelona</t>
        </is>
      </c>
      <c r="D35" t="inlineStr">
        <is>
          <t>ES</t>
        </is>
      </c>
      <c r="E35" t="inlineStr">
        <is>
          <t>ES-CT</t>
        </is>
      </c>
      <c r="F35" t="inlineStr">
        <is>
          <t>Cataluña</t>
        </is>
      </c>
      <c r="G35" t="inlineStr">
        <is>
          <t>Barcelona</t>
        </is>
      </c>
      <c r="H35" t="inlineStr">
        <is>
          <t>Barcelona</t>
        </is>
      </c>
      <c r="I35" t="inlineStr">
        <is>
          <t>Eixample</t>
        </is>
      </c>
      <c r="K35" t="inlineStr">
        <is>
          <t>C/ Diputació, 188</t>
        </is>
      </c>
      <c r="L35" t="n">
        <v>41.789657</v>
      </c>
      <c r="M35" t="n">
        <v>1.940241</v>
      </c>
      <c r="P35" t="inlineStr">
        <is>
          <t>pastry_shop</t>
        </is>
      </c>
      <c r="Q35" t="inlineStr">
        <is>
          <t>saludable</t>
        </is>
      </c>
      <c r="R35" t="inlineStr">
        <is>
          <t>€€</t>
        </is>
      </c>
      <c r="S35" t="inlineStr">
        <is>
          <t>snacks</t>
        </is>
      </c>
      <c r="T35" t="inlineStr">
        <is>
          <t>pending_verification</t>
        </is>
      </c>
      <c r="W35" t="b">
        <v>0</v>
      </c>
      <c r="X35" t="b">
        <v>0</v>
      </c>
      <c r="Y35" t="inlineStr">
        <is>
          <t>Celiacs Catalunya</t>
        </is>
      </c>
      <c r="AI35" t="inlineStr">
        <is>
          <t>ACC-zertifizierte 100% glutenfreie Konditorei. Ohne raffinierten Zucker.</t>
        </is>
      </c>
      <c r="AJ35" t="inlineStr">
        <is>
          <t>ACC-certified 100% gluten-free bakery. No refined sugars.</t>
        </is>
      </c>
      <c r="AK35" t="inlineStr">
        <is>
          <t>Pastelería 100% sin gluten certificada por ACC. Sin azúcares refinados.</t>
        </is>
      </c>
      <c r="AM35" t="b">
        <v>1</v>
      </c>
      <c r="AN35" t="b">
        <v>0</v>
      </c>
      <c r="AT35" t="inlineStr">
        <is>
          <t>Inhaberin Anna selbst: 'estamos en c/ Diputación 188 de Barcelona... certificados por la ACC como establecimiento libre de gluten 100%'. PRÜFEN: aktueller Status.</t>
        </is>
      </c>
      <c r="AV35" t="inlineStr">
        <is>
          <t>regional_association</t>
        </is>
      </c>
      <c r="AW35" t="inlineStr">
        <is>
          <t>happyceliac.com Kommentar der Inhaberin (Stand 2023)</t>
        </is>
      </c>
      <c r="AX35" t="inlineStr">
        <is>
          <t>2026-04-25</t>
        </is>
      </c>
      <c r="AY35" t="inlineStr">
        <is>
          <t>2026-04-25</t>
        </is>
      </c>
    </row>
    <row r="36" ht="80.09999999999999" customHeight="1">
      <c r="A36" t="inlineStr">
        <is>
          <t>es_ct_013</t>
        </is>
      </c>
      <c r="B36" t="inlineStr">
        <is>
          <t>Jansana</t>
        </is>
      </c>
      <c r="C36" t="inlineStr">
        <is>
          <t>jansana-barcelona</t>
        </is>
      </c>
      <c r="D36" t="inlineStr">
        <is>
          <t>ES</t>
        </is>
      </c>
      <c r="E36" t="inlineStr">
        <is>
          <t>ES-CT</t>
        </is>
      </c>
      <c r="F36" t="inlineStr">
        <is>
          <t>Cataluña</t>
        </is>
      </c>
      <c r="G36" t="inlineStr">
        <is>
          <t>Barcelona</t>
        </is>
      </c>
      <c r="H36" t="inlineStr">
        <is>
          <t>Barcelona</t>
        </is>
      </c>
      <c r="I36" t="inlineStr">
        <is>
          <t>Eixample</t>
        </is>
      </c>
      <c r="K36" t="inlineStr">
        <is>
          <t>Carrer Balmes, 106</t>
        </is>
      </c>
      <c r="L36" t="n">
        <v>41.392297</v>
      </c>
      <c r="M36" t="n">
        <v>2.158861</v>
      </c>
      <c r="P36" t="inlineStr">
        <is>
          <t>bakery</t>
        </is>
      </c>
      <c r="Q36" t="inlineStr">
        <is>
          <t>saludable</t>
        </is>
      </c>
      <c r="R36" t="inlineStr">
        <is>
          <t>€€</t>
        </is>
      </c>
      <c r="S36" t="inlineStr">
        <is>
          <t>breakfast, snacks</t>
        </is>
      </c>
      <c r="T36" t="inlineStr">
        <is>
          <t>pending_verification</t>
        </is>
      </c>
      <c r="W36" t="b">
        <v>0</v>
      </c>
      <c r="X36" t="b">
        <v>0</v>
      </c>
      <c r="AI36" t="inlineStr">
        <is>
          <t>100% glutenfreie Bäckerei seit 2015 mit eigener Produktion.</t>
        </is>
      </c>
      <c r="AJ36" t="inlineStr">
        <is>
          <t>100% gluten-free bakery since 2015 with own production.</t>
        </is>
      </c>
      <c r="AK36" t="inlineStr">
        <is>
          <t>Panadería y pastelería 100% sin gluten desde 2015. Obrador propio.</t>
        </is>
      </c>
      <c r="AM36" t="b">
        <v>1</v>
      </c>
      <c r="AN36" t="b">
        <v>0</v>
      </c>
      <c r="AT36" t="inlineStr">
        <is>
          <t>Maná 75: 'Jansana es una pastelería 100% sin gluten que ha conquistado a locales y visitantes... Desde 2015'. PRÜFEN.</t>
        </is>
      </c>
      <c r="AV36" t="inlineStr">
        <is>
          <t>blog_research</t>
        </is>
      </c>
      <c r="AW36" t="inlineStr">
        <is>
          <t>mana75.es (Stand 05/2025)</t>
        </is>
      </c>
      <c r="AX36" t="inlineStr">
        <is>
          <t>2026-04-25</t>
        </is>
      </c>
      <c r="AY36" t="inlineStr">
        <is>
          <t>2026-04-25</t>
        </is>
      </c>
    </row>
    <row r="37" ht="80.09999999999999" customHeight="1">
      <c r="A37" t="inlineStr">
        <is>
          <t>es_ct_014</t>
        </is>
      </c>
      <c r="B37" t="inlineStr">
        <is>
          <t>Maná 75</t>
        </is>
      </c>
      <c r="C37" t="inlineStr">
        <is>
          <t>mana-75-barcelona</t>
        </is>
      </c>
      <c r="D37" t="inlineStr">
        <is>
          <t>ES</t>
        </is>
      </c>
      <c r="E37" t="inlineStr">
        <is>
          <t>ES-CT</t>
        </is>
      </c>
      <c r="F37" t="inlineStr">
        <is>
          <t>Cataluña</t>
        </is>
      </c>
      <c r="G37" t="inlineStr">
        <is>
          <t>Barcelona</t>
        </is>
      </c>
      <c r="H37" t="inlineStr">
        <is>
          <t>Barcelona</t>
        </is>
      </c>
      <c r="I37" t="inlineStr">
        <is>
          <t>Barceloneta</t>
        </is>
      </c>
      <c r="L37" t="n">
        <v>41.38258</v>
      </c>
      <c r="M37" t="n">
        <v>2.177073</v>
      </c>
      <c r="P37" t="inlineStr">
        <is>
          <t>restaurant</t>
        </is>
      </c>
      <c r="Q37" t="inlineStr">
        <is>
          <t>espanola, valenciana, arroces</t>
        </is>
      </c>
      <c r="R37" t="inlineStr">
        <is>
          <t>€€€</t>
        </is>
      </c>
      <c r="S37" t="inlineStr">
        <is>
          <t>lunch, dinner</t>
        </is>
      </c>
      <c r="T37" t="inlineStr">
        <is>
          <t>pending_verification</t>
        </is>
      </c>
      <c r="W37" t="b">
        <v>0</v>
      </c>
      <c r="X37" t="b">
        <v>0</v>
      </c>
      <c r="AC37" t="inlineStr">
        <is>
          <t>https://mana75.es</t>
        </is>
      </c>
      <c r="AM37" t="b">
        <v>1</v>
      </c>
      <c r="AN37" t="b">
        <v>0</v>
      </c>
      <c r="AT37" t="inlineStr">
        <is>
          <t>Eigene Webseite: 'arroces, todos 100% sin gluten'. UNKLAR ob ganzes Lokal 100% GF — möglicherweise Mischbetrieb. Klärungsbedarf!</t>
        </is>
      </c>
      <c r="AV37" t="inlineStr">
        <is>
          <t>official_website</t>
        </is>
      </c>
      <c r="AW37" t="inlineStr">
        <is>
          <t>mana75.es — Status 100% UNKLAR, dringend prüfen</t>
        </is>
      </c>
      <c r="AX37" t="inlineStr">
        <is>
          <t>2026-04-25</t>
        </is>
      </c>
      <c r="AY37" t="inlineStr">
        <is>
          <t>2026-04-25</t>
        </is>
      </c>
    </row>
    <row r="38" ht="80.09999999999999" customHeight="1">
      <c r="A38" t="inlineStr">
        <is>
          <t>es_ct_015</t>
        </is>
      </c>
      <c r="B38" t="inlineStr">
        <is>
          <t>El Tianguis</t>
        </is>
      </c>
      <c r="C38" t="inlineStr">
        <is>
          <t>el-tianguis-barcelona</t>
        </is>
      </c>
      <c r="D38" t="inlineStr">
        <is>
          <t>ES</t>
        </is>
      </c>
      <c r="E38" t="inlineStr">
        <is>
          <t>ES-CT</t>
        </is>
      </c>
      <c r="F38" t="inlineStr">
        <is>
          <t>Cataluña</t>
        </is>
      </c>
      <c r="G38" t="inlineStr">
        <is>
          <t>Barcelona</t>
        </is>
      </c>
      <c r="H38" t="inlineStr">
        <is>
          <t>Barcelona</t>
        </is>
      </c>
      <c r="L38" t="n">
        <v>41.38258</v>
      </c>
      <c r="M38" t="n">
        <v>2.177073</v>
      </c>
      <c r="P38" t="inlineStr">
        <is>
          <t>restaurant</t>
        </is>
      </c>
      <c r="Q38" t="inlineStr">
        <is>
          <t>mexicana</t>
        </is>
      </c>
      <c r="R38" t="inlineStr">
        <is>
          <t>€€</t>
        </is>
      </c>
      <c r="S38" t="inlineStr">
        <is>
          <t>lunch, dinner</t>
        </is>
      </c>
      <c r="T38" t="inlineStr">
        <is>
          <t>pending_verification</t>
        </is>
      </c>
      <c r="W38" t="b">
        <v>0</v>
      </c>
      <c r="X38" t="b">
        <v>0</v>
      </c>
      <c r="AM38" t="b">
        <v>1</v>
      </c>
      <c r="AN38" t="b">
        <v>0</v>
      </c>
      <c r="AT38" t="inlineStr">
        <is>
          <t>Maná 75 Blog: 'menú completamente apto para celíacos, utilizando maíz 100% sin gluten en todas sus tortillas y evitando cualquier riesgo de contaminación cruzada'. PRÜFEN: Adresse, ist es wirklich 100% GF.</t>
        </is>
      </c>
      <c r="AV38" t="inlineStr">
        <is>
          <t>blog_research</t>
        </is>
      </c>
      <c r="AW38" t="inlineStr">
        <is>
          <t>mana75.es (Stand 05/2025)</t>
        </is>
      </c>
      <c r="AX38" t="inlineStr">
        <is>
          <t>2026-04-25</t>
        </is>
      </c>
      <c r="AY38" t="inlineStr">
        <is>
          <t>2026-04-25</t>
        </is>
      </c>
    </row>
    <row r="39" ht="80.09999999999999" customHeight="1">
      <c r="A39" t="inlineStr">
        <is>
          <t>es_ct_016</t>
        </is>
      </c>
      <c r="B39" t="inlineStr">
        <is>
          <t>Gocce di Latte Vegan (Heladería)</t>
        </is>
      </c>
      <c r="C39" t="inlineStr">
        <is>
          <t>gocce-di-latte-vegan-barcelona</t>
        </is>
      </c>
      <c r="D39" t="inlineStr">
        <is>
          <t>ES</t>
        </is>
      </c>
      <c r="E39" t="inlineStr">
        <is>
          <t>ES-CT</t>
        </is>
      </c>
      <c r="F39" t="inlineStr">
        <is>
          <t>Cataluña</t>
        </is>
      </c>
      <c r="G39" t="inlineStr">
        <is>
          <t>Barcelona</t>
        </is>
      </c>
      <c r="H39" t="inlineStr">
        <is>
          <t>Barcelona</t>
        </is>
      </c>
      <c r="I39" t="inlineStr">
        <is>
          <t>Born</t>
        </is>
      </c>
      <c r="J39" t="inlineStr">
        <is>
          <t>08003</t>
        </is>
      </c>
      <c r="K39" t="inlineStr">
        <is>
          <t>Carrer de l'Espaseria, 14</t>
        </is>
      </c>
      <c r="L39" t="n">
        <v>41.38258</v>
      </c>
      <c r="M39" t="n">
        <v>2.177073</v>
      </c>
      <c r="P39" t="inlineStr">
        <is>
          <t>ice_cream</t>
        </is>
      </c>
      <c r="Q39" t="inlineStr">
        <is>
          <t>vegana</t>
        </is>
      </c>
      <c r="R39" t="inlineStr">
        <is>
          <t>€</t>
        </is>
      </c>
      <c r="S39" t="inlineStr">
        <is>
          <t>snacks</t>
        </is>
      </c>
      <c r="T39" t="inlineStr">
        <is>
          <t>pending_verification</t>
        </is>
      </c>
      <c r="W39" t="b">
        <v>0</v>
      </c>
      <c r="X39" t="b">
        <v>0</v>
      </c>
      <c r="AI39" t="inlineStr">
        <is>
          <t>100% glutenfreie und vegane Eisdiele im Born.</t>
        </is>
      </c>
      <c r="AJ39" t="inlineStr">
        <is>
          <t>100% gluten-free and vegan ice cream shop in Born.</t>
        </is>
      </c>
      <c r="AK39" t="inlineStr">
        <is>
          <t>Heladería 100% sin gluten y vegana en el Born.</t>
        </is>
      </c>
      <c r="AM39" t="b">
        <v>1</v>
      </c>
      <c r="AN39" t="b">
        <v>0</v>
      </c>
      <c r="AT39" t="inlineStr">
        <is>
          <t>Happy Celiac: 'es 100% libre de gluten' — ACHTUNG: in derselben Straße gibt es das normale Gocce di Latte mit Gluten! Nur das VEGAN-Lokal ist 100% GF.</t>
        </is>
      </c>
      <c r="AV39" t="inlineStr">
        <is>
          <t>blog_research</t>
        </is>
      </c>
      <c r="AW39" t="inlineStr">
        <is>
          <t>happyceliac.com (Stand 2023). NICHT verwechseln mit Gocce di Latte (mit Gluten).</t>
        </is>
      </c>
      <c r="AX39" t="inlineStr">
        <is>
          <t>2026-04-25</t>
        </is>
      </c>
      <c r="AY39" t="inlineStr">
        <is>
          <t>2026-04-25</t>
        </is>
      </c>
    </row>
    <row r="40" ht="80.09999999999999" customHeight="1">
      <c r="A40" t="inlineStr">
        <is>
          <t>es_ct_017</t>
        </is>
      </c>
      <c r="B40" t="inlineStr">
        <is>
          <t>Cal Marius 449</t>
        </is>
      </c>
      <c r="C40" t="inlineStr">
        <is>
          <t>cal-marius-449-barcelona</t>
        </is>
      </c>
      <c r="D40" t="inlineStr">
        <is>
          <t>ES</t>
        </is>
      </c>
      <c r="E40" t="inlineStr">
        <is>
          <t>ES-CT</t>
        </is>
      </c>
      <c r="F40" t="inlineStr">
        <is>
          <t>Cataluña</t>
        </is>
      </c>
      <c r="G40" t="inlineStr">
        <is>
          <t>Barcelona</t>
        </is>
      </c>
      <c r="H40" t="inlineStr">
        <is>
          <t>Barcelona</t>
        </is>
      </c>
      <c r="I40" t="inlineStr">
        <is>
          <t>Sagrada Familia</t>
        </is>
      </c>
      <c r="K40" t="inlineStr">
        <is>
          <t>Carrer Mallorca</t>
        </is>
      </c>
      <c r="L40" t="n">
        <v>41.493623</v>
      </c>
      <c r="M40" t="n">
        <v>2.186322</v>
      </c>
      <c r="P40" t="inlineStr">
        <is>
          <t>bar_tapas</t>
        </is>
      </c>
      <c r="Q40" t="inlineStr">
        <is>
          <t>tapas, espanola</t>
        </is>
      </c>
      <c r="R40" t="inlineStr">
        <is>
          <t>€€</t>
        </is>
      </c>
      <c r="S40" t="inlineStr">
        <is>
          <t>lunch, dinner, snacks</t>
        </is>
      </c>
      <c r="T40" t="inlineStr">
        <is>
          <t>pending_verification</t>
        </is>
      </c>
      <c r="W40" t="b">
        <v>1</v>
      </c>
      <c r="X40" t="b">
        <v>0</v>
      </c>
      <c r="Y40" t="inlineStr">
        <is>
          <t>FACE, Celiacs Catalunya</t>
        </is>
      </c>
      <c r="AM40" t="b">
        <v>1</v>
      </c>
      <c r="AN40" t="b">
        <v>0</v>
      </c>
      <c r="AT40" t="inlineStr">
        <is>
          <t>WICHTIG: ViajarSinGluten beschreibt: 'El 99% de la carta es Sin Gluten'. NICHT 100%! Möglicherweise nicht für die App geeignet — Klärungsbedarf, ob mittlerweile 100% oder ausschließen.</t>
        </is>
      </c>
      <c r="AV40" t="inlineStr">
        <is>
          <t>blog_research</t>
        </is>
      </c>
      <c r="AW40" t="inlineStr">
        <is>
          <t>viajarsingluten.com — '99% Sin Gluten', NICHT 100%! Eventuell ablehnen.</t>
        </is>
      </c>
      <c r="AX40" t="inlineStr">
        <is>
          <t>2026-04-25</t>
        </is>
      </c>
      <c r="AY40" t="inlineStr">
        <is>
          <t>2026-04-25</t>
        </is>
      </c>
    </row>
    <row r="41" ht="80.09999999999999" customHeight="1">
      <c r="A41" t="inlineStr">
        <is>
          <t>es_vc_001</t>
        </is>
      </c>
      <c r="B41" t="inlineStr">
        <is>
          <t>El Miracle</t>
        </is>
      </c>
      <c r="C41" t="inlineStr">
        <is>
          <t>el-miracle-valencia</t>
        </is>
      </c>
      <c r="D41" t="inlineStr">
        <is>
          <t>ES</t>
        </is>
      </c>
      <c r="E41" t="inlineStr">
        <is>
          <t>ES-VC</t>
        </is>
      </c>
      <c r="F41" t="inlineStr">
        <is>
          <t>Comunidad Valenciana</t>
        </is>
      </c>
      <c r="G41" t="inlineStr">
        <is>
          <t>Valencia</t>
        </is>
      </c>
      <c r="H41" t="inlineStr">
        <is>
          <t>Valencia</t>
        </is>
      </c>
      <c r="I41" t="inlineStr">
        <is>
          <t>Ciutat Jardín</t>
        </is>
      </c>
      <c r="J41" t="inlineStr">
        <is>
          <t>46022</t>
        </is>
      </c>
      <c r="K41" t="inlineStr">
        <is>
          <t>Carrer de Campoamor, 42</t>
        </is>
      </c>
      <c r="L41" t="n">
        <v>39.468813</v>
      </c>
      <c r="M41" t="n">
        <v>-0.340323</v>
      </c>
      <c r="P41" t="inlineStr">
        <is>
          <t>restaurant</t>
        </is>
      </c>
      <c r="Q41" t="inlineStr">
        <is>
          <t>internacional, mediterranea, hamburguesas</t>
        </is>
      </c>
      <c r="R41" t="inlineStr">
        <is>
          <t>€€</t>
        </is>
      </c>
      <c r="S41" t="inlineStr">
        <is>
          <t>lunch, dinner</t>
        </is>
      </c>
      <c r="T41" t="inlineStr">
        <is>
          <t>pending_verification</t>
        </is>
      </c>
      <c r="W41" t="b">
        <v>1</v>
      </c>
      <c r="X41" t="b">
        <v>0</v>
      </c>
      <c r="Y41" t="inlineStr">
        <is>
          <t>FACE, ACECOVA</t>
        </is>
      </c>
      <c r="AC41" t="inlineStr">
        <is>
          <t>https://miraclerestaurante.es</t>
        </is>
      </c>
      <c r="AI41" t="inlineStr">
        <is>
          <t>Erstes von ACECOVA zertifiziertes 100% glutenfreies Restaurant in der Comunitat Valenciana.</t>
        </is>
      </c>
      <c r="AJ41" t="inlineStr">
        <is>
          <t>First 100% gluten-free restaurant in Comunitat Valenciana certified by ACECOVA.</t>
        </is>
      </c>
      <c r="AK41" t="inlineStr">
        <is>
          <t>Primer restaurante 100% sin gluten certificado por ACECOVA en la Comunitat Valenciana.</t>
        </is>
      </c>
      <c r="AM41" t="b">
        <v>1</v>
      </c>
      <c r="AN41" t="b">
        <v>0</v>
      </c>
      <c r="AT41" t="inlineStr">
        <is>
          <t>FLAGGSCHIFF! Erstes ACECOVA-zertifiziertes 100% GF-Restaurant der Comunitat Valenciana. Inhaber Hiba Malek + Nazir Hanna (syrische Herkunft, seit ~2017). Top 3 Spaniens lt. Celicidad-App. Eigene Reservierungs-Webseite. Mediterrane + nahöstliche Fusion (falafel, halloumi, tahina). PRÜFEN: aktueller Status, eigener Besuch.</t>
        </is>
      </c>
      <c r="AV41" t="inlineStr">
        <is>
          <t>regional_association</t>
        </is>
      </c>
      <c r="AW41" t="inlineStr">
        <is>
          <t>celiacos.org/el-miracle-restaurant + valenciaextra.com (Stand 2024-2026)</t>
        </is>
      </c>
      <c r="AX41" t="inlineStr">
        <is>
          <t>2026-04-25</t>
        </is>
      </c>
      <c r="AY41" t="inlineStr">
        <is>
          <t>2026-04-25</t>
        </is>
      </c>
    </row>
    <row r="42" ht="80.09999999999999" customHeight="1">
      <c r="A42" t="inlineStr">
        <is>
          <t>es_vc_002</t>
        </is>
      </c>
      <c r="B42" t="inlineStr">
        <is>
          <t>Naked &amp; Sated Valencia</t>
        </is>
      </c>
      <c r="C42" t="inlineStr">
        <is>
          <t>naked-sated-valencia</t>
        </is>
      </c>
      <c r="D42" t="inlineStr">
        <is>
          <t>ES</t>
        </is>
      </c>
      <c r="E42" t="inlineStr">
        <is>
          <t>ES-VC</t>
        </is>
      </c>
      <c r="F42" t="inlineStr">
        <is>
          <t>Comunidad Valenciana</t>
        </is>
      </c>
      <c r="G42" t="inlineStr">
        <is>
          <t>Valencia</t>
        </is>
      </c>
      <c r="H42" t="inlineStr">
        <is>
          <t>Valencia</t>
        </is>
      </c>
      <c r="L42" t="n">
        <v>39.465765</v>
      </c>
      <c r="M42" t="n">
        <v>-0.381783</v>
      </c>
      <c r="P42" t="inlineStr">
        <is>
          <t>restaurant</t>
        </is>
      </c>
      <c r="Q42" t="inlineStr">
        <is>
          <t>saludable, internacional, hamburguesas, pizzas</t>
        </is>
      </c>
      <c r="R42" t="inlineStr">
        <is>
          <t>€€</t>
        </is>
      </c>
      <c r="S42" t="inlineStr">
        <is>
          <t>brunch, lunch, dinner</t>
        </is>
      </c>
      <c r="T42" t="inlineStr">
        <is>
          <t>pending_verification</t>
        </is>
      </c>
      <c r="W42" t="b">
        <v>0</v>
      </c>
      <c r="X42" t="b">
        <v>0</v>
      </c>
      <c r="Y42" t="inlineStr">
        <is>
          <t>ACECOVA</t>
        </is>
      </c>
      <c r="AI42" t="inlineStr">
        <is>
          <t>100% glutenfreies Restaurant ohne Zuckerzusatz, mit Pizza, Burgern und Galettes.</t>
        </is>
      </c>
      <c r="AJ42" t="inlineStr">
        <is>
          <t>100% gluten-free restaurant, no added sugars, with pizzas, burgers and galettes.</t>
        </is>
      </c>
      <c r="AK42" t="inlineStr">
        <is>
          <t>Restaurante 100% sin gluten, sin azúcares añadidos, con pizzas, hamburguesas y galettes.</t>
        </is>
      </c>
      <c r="AM42" t="b">
        <v>1</v>
      </c>
      <c r="AN42" t="b">
        <v>0</v>
      </c>
      <c r="AT42" t="inlineStr">
        <is>
          <t>Disfrutando sin Gluten: 'cadena de restaurantes 100% sin gluten también tiene local en Valencia'. Auch in Madrid. PRÜFEN: Adresse Valencia.</t>
        </is>
      </c>
      <c r="AV42" t="inlineStr">
        <is>
          <t>blog_research</t>
        </is>
      </c>
      <c r="AW42" t="inlineStr">
        <is>
          <t>disfrutandosingluten.es (Stand 04/2024)</t>
        </is>
      </c>
      <c r="AX42" t="inlineStr">
        <is>
          <t>2026-04-25</t>
        </is>
      </c>
      <c r="AY42" t="inlineStr">
        <is>
          <t>2026-04-25</t>
        </is>
      </c>
    </row>
    <row r="43" ht="80.09999999999999" customHeight="1">
      <c r="A43" t="inlineStr">
        <is>
          <t>es_vc_003</t>
        </is>
      </c>
      <c r="B43" t="inlineStr">
        <is>
          <t>Berguna</t>
        </is>
      </c>
      <c r="C43" t="inlineStr">
        <is>
          <t>berguna-valencia</t>
        </is>
      </c>
      <c r="D43" t="inlineStr">
        <is>
          <t>ES</t>
        </is>
      </c>
      <c r="E43" t="inlineStr">
        <is>
          <t>ES-VC</t>
        </is>
      </c>
      <c r="F43" t="inlineStr">
        <is>
          <t>Comunidad Valenciana</t>
        </is>
      </c>
      <c r="G43" t="inlineStr">
        <is>
          <t>Valencia</t>
        </is>
      </c>
      <c r="H43" t="inlineStr">
        <is>
          <t>Valencia</t>
        </is>
      </c>
      <c r="I43" t="inlineStr">
        <is>
          <t>Centro</t>
        </is>
      </c>
      <c r="J43" t="inlineStr">
        <is>
          <t>46002</t>
        </is>
      </c>
      <c r="K43" t="inlineStr">
        <is>
          <t>Calle Moratín, 13</t>
        </is>
      </c>
      <c r="L43" t="n">
        <v>39.47104</v>
      </c>
      <c r="M43" t="n">
        <v>-0.375793</v>
      </c>
      <c r="P43" t="inlineStr">
        <is>
          <t>cafe</t>
        </is>
      </c>
      <c r="Q43" t="inlineStr">
        <is>
          <t>saludable, vegana</t>
        </is>
      </c>
      <c r="R43" t="inlineStr">
        <is>
          <t>€€</t>
        </is>
      </c>
      <c r="S43" t="inlineStr">
        <is>
          <t>breakfast, brunch, lunch</t>
        </is>
      </c>
      <c r="T43" t="inlineStr">
        <is>
          <t>pending_verification</t>
        </is>
      </c>
      <c r="W43" t="b">
        <v>0</v>
      </c>
      <c r="X43" t="b">
        <v>0</v>
      </c>
      <c r="Y43" t="inlineStr">
        <is>
          <t>ACECOVA</t>
        </is>
      </c>
      <c r="AI43" t="inlineStr">
        <is>
          <t>100% glutenfreies Café/Restaurant, fast komplett vegan, nahe Ciudad de las Artes.</t>
        </is>
      </c>
      <c r="AJ43" t="inlineStr">
        <is>
          <t>100% gluten-free café/restaurant, mostly vegan, near Ciudad de las Artes.</t>
        </is>
      </c>
      <c r="AK43" t="inlineStr">
        <is>
          <t>Café/restaurante 100% sin gluten y casi todo vegano cerca de la Ciudad de las Artes.</t>
        </is>
      </c>
      <c r="AM43" t="b">
        <v>1</v>
      </c>
      <c r="AN43" t="b">
        <v>0</v>
      </c>
      <c r="AT43" t="inlineStr">
        <is>
          <t>Disfrutando sin Gluten: 'restaurante / café 100% sin gluten... cocina sin gluten, sin azúcar y con casi todos sus platos veganos'. PRÜFEN.</t>
        </is>
      </c>
      <c r="AV43" t="inlineStr">
        <is>
          <t>blog_research</t>
        </is>
      </c>
      <c r="AW43" t="inlineStr">
        <is>
          <t>disfrutandosingluten.es + celiaquita.com</t>
        </is>
      </c>
      <c r="AX43" t="inlineStr">
        <is>
          <t>2026-04-25</t>
        </is>
      </c>
      <c r="AY43" t="inlineStr">
        <is>
          <t>2026-04-25</t>
        </is>
      </c>
    </row>
    <row r="44" ht="80.09999999999999" customHeight="1">
      <c r="A44" t="inlineStr">
        <is>
          <t>es_vc_004</t>
        </is>
      </c>
      <c r="B44" t="inlineStr">
        <is>
          <t>Sana Locura Valencia</t>
        </is>
      </c>
      <c r="C44" t="inlineStr">
        <is>
          <t>sana-locura-valencia</t>
        </is>
      </c>
      <c r="D44" t="inlineStr">
        <is>
          <t>ES</t>
        </is>
      </c>
      <c r="E44" t="inlineStr">
        <is>
          <t>ES-VC</t>
        </is>
      </c>
      <c r="F44" t="inlineStr">
        <is>
          <t>Comunidad Valenciana</t>
        </is>
      </c>
      <c r="G44" t="inlineStr">
        <is>
          <t>Valencia</t>
        </is>
      </c>
      <c r="H44" t="inlineStr">
        <is>
          <t>Valencia</t>
        </is>
      </c>
      <c r="I44" t="inlineStr">
        <is>
          <t>Centro</t>
        </is>
      </c>
      <c r="J44" t="inlineStr">
        <is>
          <t>46002</t>
        </is>
      </c>
      <c r="K44" t="inlineStr">
        <is>
          <t>Convento Santa Clara, 12</t>
        </is>
      </c>
      <c r="L44" t="n">
        <v>39.468352</v>
      </c>
      <c r="M44" t="n">
        <v>-0.376502</v>
      </c>
      <c r="P44" t="inlineStr">
        <is>
          <t>cafe</t>
        </is>
      </c>
      <c r="Q44" t="inlineStr">
        <is>
          <t>saludable</t>
        </is>
      </c>
      <c r="R44" t="inlineStr">
        <is>
          <t>€€</t>
        </is>
      </c>
      <c r="S44" t="inlineStr">
        <is>
          <t>breakfast, brunch, snacks</t>
        </is>
      </c>
      <c r="T44" t="inlineStr">
        <is>
          <t>pending_verification</t>
        </is>
      </c>
      <c r="W44" t="b">
        <v>0</v>
      </c>
      <c r="X44" t="b">
        <v>0</v>
      </c>
      <c r="Y44" t="inlineStr">
        <is>
          <t>ACECOVA</t>
        </is>
      </c>
      <c r="AI44" t="inlineStr">
        <is>
          <t>100% glutenfreies Café im Zentrum von Valencia.</t>
        </is>
      </c>
      <c r="AJ44" t="inlineStr">
        <is>
          <t>100% gluten-free café in central Valencia.</t>
        </is>
      </c>
      <c r="AK44" t="inlineStr">
        <is>
          <t>Cafetería 100% sin gluten en el centro de Valencia.</t>
        </is>
      </c>
      <c r="AM44" t="b">
        <v>1</v>
      </c>
      <c r="AN44" t="b">
        <v>0</v>
      </c>
      <c r="AT44" t="inlineStr">
        <is>
          <t>Celiaquita-Quelle nennt als '100% sin gluten' nahe Plaza Ayuntamiento. PRÜFEN.</t>
        </is>
      </c>
      <c r="AV44" t="inlineStr">
        <is>
          <t>blog_research</t>
        </is>
      </c>
      <c r="AW44" t="inlineStr">
        <is>
          <t>celiaquita.com (Stand 01/2026)</t>
        </is>
      </c>
      <c r="AX44" t="inlineStr">
        <is>
          <t>2026-04-25</t>
        </is>
      </c>
      <c r="AY44" t="inlineStr">
        <is>
          <t>2026-04-25</t>
        </is>
      </c>
    </row>
    <row r="45" ht="80.09999999999999" customHeight="1">
      <c r="A45" t="inlineStr">
        <is>
          <t>es_vc_005</t>
        </is>
      </c>
      <c r="B45" t="inlineStr">
        <is>
          <t>Gato Blanco</t>
        </is>
      </c>
      <c r="C45" t="inlineStr">
        <is>
          <t>gato-blanco-valencia</t>
        </is>
      </c>
      <c r="D45" t="inlineStr">
        <is>
          <t>ES</t>
        </is>
      </c>
      <c r="E45" t="inlineStr">
        <is>
          <t>ES-VC</t>
        </is>
      </c>
      <c r="F45" t="inlineStr">
        <is>
          <t>Comunidad Valenciana</t>
        </is>
      </c>
      <c r="G45" t="inlineStr">
        <is>
          <t>Valencia</t>
        </is>
      </c>
      <c r="H45" t="inlineStr">
        <is>
          <t>Valencia</t>
        </is>
      </c>
      <c r="I45" t="inlineStr">
        <is>
          <t>La Zaidía</t>
        </is>
      </c>
      <c r="J45" t="inlineStr">
        <is>
          <t>46009</t>
        </is>
      </c>
      <c r="K45" t="inlineStr">
        <is>
          <t>C. de Lérida, 14, Bajo derecha</t>
        </is>
      </c>
      <c r="L45" t="n">
        <v>39.465765</v>
      </c>
      <c r="M45" t="n">
        <v>-0.381783</v>
      </c>
      <c r="P45" t="inlineStr">
        <is>
          <t>restaurant</t>
        </is>
      </c>
      <c r="Q45" t="inlineStr">
        <is>
          <t>internacional, saludable</t>
        </is>
      </c>
      <c r="R45" t="inlineStr">
        <is>
          <t>€€</t>
        </is>
      </c>
      <c r="S45" t="inlineStr">
        <is>
          <t>lunch, dinner</t>
        </is>
      </c>
      <c r="T45" t="inlineStr">
        <is>
          <t>pending_verification</t>
        </is>
      </c>
      <c r="W45" t="b">
        <v>1</v>
      </c>
      <c r="X45" t="b">
        <v>0</v>
      </c>
      <c r="Y45" t="inlineStr">
        <is>
          <t>FACE, ACECOVA</t>
        </is>
      </c>
      <c r="AM45" t="b">
        <v>1</v>
      </c>
      <c r="AN45" t="b">
        <v>0</v>
      </c>
      <c r="AT45" t="inlineStr">
        <is>
          <t>Celicidad: 'restaurante familiar... certificado por FACE'. UNKLAR ob 100% GF — möglicherweise allergen-freundliches Lokal. Klärungsbedarf!</t>
        </is>
      </c>
      <c r="AV45" t="inlineStr">
        <is>
          <t>blog_research</t>
        </is>
      </c>
      <c r="AW45" t="inlineStr">
        <is>
          <t>restaurantes.celicidad.net — Status 100% UNKLAR</t>
        </is>
      </c>
      <c r="AX45" t="inlineStr">
        <is>
          <t>2026-04-25</t>
        </is>
      </c>
      <c r="AY45" t="inlineStr">
        <is>
          <t>2026-04-25</t>
        </is>
      </c>
    </row>
    <row r="46" ht="80.09999999999999" customHeight="1">
      <c r="A46" t="inlineStr">
        <is>
          <t>es_vc_006</t>
        </is>
      </c>
      <c r="B46" t="inlineStr">
        <is>
          <t>El Rebost d'Alboraia</t>
        </is>
      </c>
      <c r="C46" t="inlineStr">
        <is>
          <t>el-rebost-alboraia</t>
        </is>
      </c>
      <c r="D46" t="inlineStr">
        <is>
          <t>ES</t>
        </is>
      </c>
      <c r="E46" t="inlineStr">
        <is>
          <t>ES-VC</t>
        </is>
      </c>
      <c r="F46" t="inlineStr">
        <is>
          <t>Comunidad Valenciana</t>
        </is>
      </c>
      <c r="G46" t="inlineStr">
        <is>
          <t>Valencia</t>
        </is>
      </c>
      <c r="H46" t="inlineStr">
        <is>
          <t>Alboraia</t>
        </is>
      </c>
      <c r="L46" t="n">
        <v>39.501012</v>
      </c>
      <c r="M46" t="n">
        <v>-0.349958</v>
      </c>
      <c r="P46" t="inlineStr">
        <is>
          <t>catering</t>
        </is>
      </c>
      <c r="Q46" t="inlineStr">
        <is>
          <t>espanola, saludable</t>
        </is>
      </c>
      <c r="R46" t="inlineStr">
        <is>
          <t>€€</t>
        </is>
      </c>
      <c r="S46" t="inlineStr">
        <is>
          <t>lunch, dinner</t>
        </is>
      </c>
      <c r="T46" t="inlineStr">
        <is>
          <t>pending_verification</t>
        </is>
      </c>
      <c r="W46" t="b">
        <v>0</v>
      </c>
      <c r="X46" t="b">
        <v>0</v>
      </c>
      <c r="Y46" t="inlineStr">
        <is>
          <t>ACECOVA</t>
        </is>
      </c>
      <c r="AE46" t="inlineStr">
        <is>
          <t>@elrebostalboraia</t>
        </is>
      </c>
      <c r="AI46" t="inlineStr">
        <is>
          <t>100% glutenfreie Metzgerei und Take-Away in Alboraia.</t>
        </is>
      </c>
      <c r="AJ46" t="inlineStr">
        <is>
          <t>100% gluten-free butcher, deli and takeaway in Alboraia.</t>
        </is>
      </c>
      <c r="AK46" t="inlineStr">
        <is>
          <t>Carnicería, charcutería y comida para llevar 100% sin gluten en Alboraia.</t>
        </is>
      </c>
      <c r="AM46" t="b">
        <v>1</v>
      </c>
      <c r="AN46" t="b">
        <v>0</v>
      </c>
      <c r="AT46" t="inlineStr">
        <is>
          <t>Celiaquita TOP-Empfehlung. Carnicería + Charcutería + Comida para llevar 100% GF, ACECOVA-zertifiziert. Eher Take-away, weniger klassisches Restaurant. PRÜFEN.</t>
        </is>
      </c>
      <c r="AV46" t="inlineStr">
        <is>
          <t>regional_association</t>
        </is>
      </c>
      <c r="AW46" t="inlineStr">
        <is>
          <t>celiaquita.com (Stand 01/2026) — TOP-Empfehlung</t>
        </is>
      </c>
      <c r="AX46" t="inlineStr">
        <is>
          <t>2026-04-25</t>
        </is>
      </c>
      <c r="AY46" t="inlineStr">
        <is>
          <t>2026-04-25</t>
        </is>
      </c>
    </row>
    <row r="47" ht="80.09999999999999" customHeight="1">
      <c r="A47" t="inlineStr">
        <is>
          <t>es_an_001</t>
        </is>
      </c>
      <c r="B47" t="inlineStr">
        <is>
          <t>Postigo 10</t>
        </is>
      </c>
      <c r="C47" t="inlineStr">
        <is>
          <t>postigo-10-sevilla</t>
        </is>
      </c>
      <c r="D47" t="inlineStr">
        <is>
          <t>ES</t>
        </is>
      </c>
      <c r="E47" t="inlineStr">
        <is>
          <t>ES-AN</t>
        </is>
      </c>
      <c r="F47" t="inlineStr">
        <is>
          <t>Andalucía</t>
        </is>
      </c>
      <c r="G47" t="inlineStr">
        <is>
          <t>Sevilla</t>
        </is>
      </c>
      <c r="H47" t="inlineStr">
        <is>
          <t>Sevilla</t>
        </is>
      </c>
      <c r="I47" t="inlineStr">
        <is>
          <t>Casco Antiguo</t>
        </is>
      </c>
      <c r="J47" t="inlineStr">
        <is>
          <t>41001</t>
        </is>
      </c>
      <c r="K47" t="inlineStr">
        <is>
          <t>C. Almirantazgo, 10</t>
        </is>
      </c>
      <c r="L47" t="n">
        <v>37.385306</v>
      </c>
      <c r="M47" t="n">
        <v>-5.994635</v>
      </c>
      <c r="P47" t="inlineStr">
        <is>
          <t>restaurant</t>
        </is>
      </c>
      <c r="Q47" t="inlineStr">
        <is>
          <t>andaluza, espanola</t>
        </is>
      </c>
      <c r="R47" t="inlineStr">
        <is>
          <t>€€</t>
        </is>
      </c>
      <c r="S47" t="inlineStr">
        <is>
          <t>lunch, dinner</t>
        </is>
      </c>
      <c r="T47" t="inlineStr">
        <is>
          <t>pending_verification</t>
        </is>
      </c>
      <c r="W47" t="b">
        <v>0</v>
      </c>
      <c r="X47" t="b">
        <v>0</v>
      </c>
      <c r="Y47" t="inlineStr">
        <is>
          <t>Red Sevilla Sin Gluten</t>
        </is>
      </c>
      <c r="AI47" t="inlineStr">
        <is>
          <t>Traditionelle sevillanische Küche, 100% glutenfrei.</t>
        </is>
      </c>
      <c r="AJ47" t="inlineStr">
        <is>
          <t>Traditional Sevillian cuisine, 100% gluten-free.</t>
        </is>
      </c>
      <c r="AK47" t="inlineStr">
        <is>
          <t>Restaurante de cocina tradicional sevillana 100% sin gluten.</t>
        </is>
      </c>
      <c r="AM47" t="b">
        <v>1</v>
      </c>
      <c r="AN47" t="b">
        <v>0</v>
      </c>
      <c r="AT47" t="inlineStr">
        <is>
          <t>Red Sevilla Sin Gluten: 'Restaurante · cocina tradicional sevillana · 100% sin gluten'. Im RSSG-Netzwerk. PRÜFEN.</t>
        </is>
      </c>
      <c r="AV47" t="inlineStr">
        <is>
          <t>regional_association</t>
        </is>
      </c>
      <c r="AW47" t="inlineStr">
        <is>
          <t>redsevillasingluten.org</t>
        </is>
      </c>
      <c r="AX47" t="inlineStr">
        <is>
          <t>2026-04-25</t>
        </is>
      </c>
      <c r="AY47" t="inlineStr">
        <is>
          <t>2026-04-25</t>
        </is>
      </c>
    </row>
    <row r="48" ht="80.09999999999999" customHeight="1">
      <c r="A48" t="inlineStr">
        <is>
          <t>es_an_002</t>
        </is>
      </c>
      <c r="B48" t="inlineStr">
        <is>
          <t>MITO Postigo</t>
        </is>
      </c>
      <c r="C48" t="inlineStr">
        <is>
          <t>mito-postigo-sevilla</t>
        </is>
      </c>
      <c r="D48" t="inlineStr">
        <is>
          <t>ES</t>
        </is>
      </c>
      <c r="E48" t="inlineStr">
        <is>
          <t>ES-AN</t>
        </is>
      </c>
      <c r="F48" t="inlineStr">
        <is>
          <t>Andalucía</t>
        </is>
      </c>
      <c r="G48" t="inlineStr">
        <is>
          <t>Sevilla</t>
        </is>
      </c>
      <c r="H48" t="inlineStr">
        <is>
          <t>Sevilla</t>
        </is>
      </c>
      <c r="I48" t="inlineStr">
        <is>
          <t>Casco Antiguo</t>
        </is>
      </c>
      <c r="J48" t="inlineStr">
        <is>
          <t>41001</t>
        </is>
      </c>
      <c r="K48" t="inlineStr">
        <is>
          <t>C. Almirantazgo, 11</t>
        </is>
      </c>
      <c r="L48" t="n">
        <v>37.385215</v>
      </c>
      <c r="M48" t="n">
        <v>-5.994717</v>
      </c>
      <c r="P48" t="inlineStr">
        <is>
          <t>ice_cream</t>
        </is>
      </c>
      <c r="Q48" t="inlineStr">
        <is>
          <t>italiana</t>
        </is>
      </c>
      <c r="R48" t="inlineStr">
        <is>
          <t>€</t>
        </is>
      </c>
      <c r="S48" t="inlineStr">
        <is>
          <t>snacks</t>
        </is>
      </c>
      <c r="T48" t="inlineStr">
        <is>
          <t>pending_verification</t>
        </is>
      </c>
      <c r="W48" t="b">
        <v>0</v>
      </c>
      <c r="X48" t="b">
        <v>0</v>
      </c>
      <c r="Y48" t="inlineStr">
        <is>
          <t>Red Sevilla Sin Gluten</t>
        </is>
      </c>
      <c r="AI48" t="inlineStr">
        <is>
          <t>Italienische Eisdiele, 100% glutenfrei, in Sevilla.</t>
        </is>
      </c>
      <c r="AJ48" t="inlineStr">
        <is>
          <t>Italian gelato, 100% gluten-free, in Sevilla.</t>
        </is>
      </c>
      <c r="AK48" t="inlineStr">
        <is>
          <t>Heladería italiana 100% sin gluten en Sevilla.</t>
        </is>
      </c>
      <c r="AM48" t="b">
        <v>1</v>
      </c>
      <c r="AN48" t="b">
        <v>0</v>
      </c>
      <c r="AT48" t="inlineStr">
        <is>
          <t>Red Sevilla Sin Gluten: 'Heladería · gelato auténticamente italiano 100% sin gluten'. PRÜFEN.</t>
        </is>
      </c>
      <c r="AV48" t="inlineStr">
        <is>
          <t>regional_association</t>
        </is>
      </c>
      <c r="AW48" t="inlineStr">
        <is>
          <t>redsevillasingluten.org</t>
        </is>
      </c>
      <c r="AX48" t="inlineStr">
        <is>
          <t>2026-04-25</t>
        </is>
      </c>
      <c r="AY48" t="inlineStr">
        <is>
          <t>2026-04-25</t>
        </is>
      </c>
    </row>
    <row r="49" ht="80.09999999999999" customHeight="1">
      <c r="A49" t="inlineStr">
        <is>
          <t>es_an_003</t>
        </is>
      </c>
      <c r="B49" t="inlineStr">
        <is>
          <t>MITO San Pablo</t>
        </is>
      </c>
      <c r="C49" t="inlineStr">
        <is>
          <t>mito-san-pablo-sevilla</t>
        </is>
      </c>
      <c r="D49" t="inlineStr">
        <is>
          <t>ES</t>
        </is>
      </c>
      <c r="E49" t="inlineStr">
        <is>
          <t>ES-AN</t>
        </is>
      </c>
      <c r="F49" t="inlineStr">
        <is>
          <t>Andalucía</t>
        </is>
      </c>
      <c r="G49" t="inlineStr">
        <is>
          <t>Sevilla</t>
        </is>
      </c>
      <c r="H49" t="inlineStr">
        <is>
          <t>Sevilla</t>
        </is>
      </c>
      <c r="K49" t="inlineStr">
        <is>
          <t>C. San Pablo, 14</t>
        </is>
      </c>
      <c r="L49" t="n">
        <v>37.389741</v>
      </c>
      <c r="M49" t="n">
        <v>-5.999013</v>
      </c>
      <c r="P49" t="inlineStr">
        <is>
          <t>ice_cream</t>
        </is>
      </c>
      <c r="Q49" t="inlineStr">
        <is>
          <t>italiana</t>
        </is>
      </c>
      <c r="R49" t="inlineStr">
        <is>
          <t>€</t>
        </is>
      </c>
      <c r="S49" t="inlineStr">
        <is>
          <t>snacks</t>
        </is>
      </c>
      <c r="T49" t="inlineStr">
        <is>
          <t>pending_verification</t>
        </is>
      </c>
      <c r="W49" t="b">
        <v>0</v>
      </c>
      <c r="X49" t="b">
        <v>0</v>
      </c>
      <c r="Y49" t="inlineStr">
        <is>
          <t>Red Sevilla Sin Gluten</t>
        </is>
      </c>
      <c r="AI49" t="inlineStr">
        <is>
          <t>MITO-Filiale für 100% glutenfreies Gelato in San Pablo.</t>
        </is>
      </c>
      <c r="AJ49" t="inlineStr">
        <is>
          <t>MITO gelato branch, 100% gluten-free, in San Pablo.</t>
        </is>
      </c>
      <c r="AK49" t="inlineStr">
        <is>
          <t>Filial MITO de gelato 100% sin gluten en San Pablo.</t>
        </is>
      </c>
      <c r="AM49" t="b">
        <v>1</v>
      </c>
      <c r="AN49" t="b">
        <v>0</v>
      </c>
      <c r="AT49" t="inlineStr">
        <is>
          <t>Filiale MITO. RSSG-Netzwerk. PRÜFEN.</t>
        </is>
      </c>
      <c r="AV49" t="inlineStr">
        <is>
          <t>regional_association</t>
        </is>
      </c>
      <c r="AW49" t="inlineStr">
        <is>
          <t>redsevillasingluten.org</t>
        </is>
      </c>
      <c r="AX49" t="inlineStr">
        <is>
          <t>2026-04-25</t>
        </is>
      </c>
      <c r="AY49" t="inlineStr">
        <is>
          <t>2026-04-25</t>
        </is>
      </c>
    </row>
    <row r="50" ht="80.09999999999999" customHeight="1">
      <c r="A50" t="inlineStr">
        <is>
          <t>es_an_004</t>
        </is>
      </c>
      <c r="B50" t="inlineStr">
        <is>
          <t>Grosso Senza Glutine Sevilla</t>
        </is>
      </c>
      <c r="C50" t="inlineStr">
        <is>
          <t>grosso-senza-glutine-sevilla</t>
        </is>
      </c>
      <c r="D50" t="inlineStr">
        <is>
          <t>ES</t>
        </is>
      </c>
      <c r="E50" t="inlineStr">
        <is>
          <t>ES-AN</t>
        </is>
      </c>
      <c r="F50" t="inlineStr">
        <is>
          <t>Andalucía</t>
        </is>
      </c>
      <c r="G50" t="inlineStr">
        <is>
          <t>Sevilla</t>
        </is>
      </c>
      <c r="H50" t="inlineStr">
        <is>
          <t>Sevilla</t>
        </is>
      </c>
      <c r="I50" t="inlineStr">
        <is>
          <t>Alameda de Hércules</t>
        </is>
      </c>
      <c r="J50" t="inlineStr">
        <is>
          <t>41002</t>
        </is>
      </c>
      <c r="K50" t="inlineStr">
        <is>
          <t>Alameda de Hércules, 46</t>
        </is>
      </c>
      <c r="L50" t="n">
        <v>37.400632</v>
      </c>
      <c r="M50" t="n">
        <v>-5.993704</v>
      </c>
      <c r="P50" t="inlineStr">
        <is>
          <t>pizzeria</t>
        </is>
      </c>
      <c r="Q50" t="inlineStr">
        <is>
          <t>italiana, pizzas</t>
        </is>
      </c>
      <c r="R50" t="inlineStr">
        <is>
          <t>€€</t>
        </is>
      </c>
      <c r="S50" t="inlineStr">
        <is>
          <t>lunch, dinner</t>
        </is>
      </c>
      <c r="T50" t="inlineStr">
        <is>
          <t>pending_verification</t>
        </is>
      </c>
      <c r="W50" t="b">
        <v>1</v>
      </c>
      <c r="X50" t="b">
        <v>0</v>
      </c>
      <c r="Y50" t="inlineStr">
        <is>
          <t>FACE</t>
        </is>
      </c>
      <c r="AI50" t="inlineStr">
        <is>
          <t>Neapolitanische Pizzeria, 100% glutenfrei, FACE-zertifiziert.</t>
        </is>
      </c>
      <c r="AJ50" t="inlineStr">
        <is>
          <t>Neapolitan pizzeria, 100% gluten-free, FACE-certified.</t>
        </is>
      </c>
      <c r="AK50" t="inlineStr">
        <is>
          <t>Pizzería napolitana 100% sin gluten, FACE-certificada.</t>
        </is>
      </c>
      <c r="AM50" t="b">
        <v>1</v>
      </c>
      <c r="AN50" t="b">
        <v>0</v>
      </c>
      <c r="AT50" t="inlineStr">
        <is>
          <t>Celiaquita: 'este local es 100% sin gluten'. Achtung: ist NUR EINE Filiale der Grosso-Napoletano-Kette 100% GF — andere haben Gluten. FACE-zertifiziert. PRÜFEN.</t>
        </is>
      </c>
      <c r="AV50" t="inlineStr">
        <is>
          <t>blog_research</t>
        </is>
      </c>
      <c r="AW50" t="inlineStr">
        <is>
          <t>celiaquita.com (Stand 02/2026). NUR Alameda de Hércules — andere Filialen mit Gluten!</t>
        </is>
      </c>
      <c r="AX50" t="inlineStr">
        <is>
          <t>2026-04-25</t>
        </is>
      </c>
      <c r="AY50" t="inlineStr">
        <is>
          <t>2026-04-25</t>
        </is>
      </c>
    </row>
    <row r="51" ht="80.09999999999999" customHeight="1">
      <c r="A51" t="inlineStr">
        <is>
          <t>es_an_005</t>
        </is>
      </c>
      <c r="B51" t="inlineStr">
        <is>
          <t>Freiduría Bahía</t>
        </is>
      </c>
      <c r="C51" t="inlineStr">
        <is>
          <t>freiduria-bahia-sevilla</t>
        </is>
      </c>
      <c r="D51" t="inlineStr">
        <is>
          <t>ES</t>
        </is>
      </c>
      <c r="E51" t="inlineStr">
        <is>
          <t>ES-AN</t>
        </is>
      </c>
      <c r="F51" t="inlineStr">
        <is>
          <t>Andalucía</t>
        </is>
      </c>
      <c r="G51" t="inlineStr">
        <is>
          <t>Sevilla</t>
        </is>
      </c>
      <c r="H51" t="inlineStr">
        <is>
          <t>Sevilla</t>
        </is>
      </c>
      <c r="J51" t="inlineStr">
        <is>
          <t>41010</t>
        </is>
      </c>
      <c r="K51" t="inlineStr">
        <is>
          <t>C. Génova, 2</t>
        </is>
      </c>
      <c r="L51" t="n">
        <v>37.380431</v>
      </c>
      <c r="M51" t="n">
        <v>-5.99921</v>
      </c>
      <c r="P51" t="inlineStr">
        <is>
          <t>restaurant</t>
        </is>
      </c>
      <c r="Q51" t="inlineStr">
        <is>
          <t>andaluza, espanola</t>
        </is>
      </c>
      <c r="R51" t="inlineStr">
        <is>
          <t>€€</t>
        </is>
      </c>
      <c r="S51" t="inlineStr">
        <is>
          <t>lunch, dinner</t>
        </is>
      </c>
      <c r="T51" t="inlineStr">
        <is>
          <t>pending_verification</t>
        </is>
      </c>
      <c r="W51" t="b">
        <v>0</v>
      </c>
      <c r="X51" t="b">
        <v>0</v>
      </c>
      <c r="Y51" t="inlineStr">
        <is>
          <t>Red Sevilla Sin Gluten</t>
        </is>
      </c>
      <c r="AI51" t="inlineStr">
        <is>
          <t>100% glutenfreies Restaurant für Fritiertes und Gegrilltes.</t>
        </is>
      </c>
      <c r="AJ51" t="inlineStr">
        <is>
          <t>100% gluten-free fried fish and grill restaurant.</t>
        </is>
      </c>
      <c r="AK51" t="inlineStr">
        <is>
          <t>Freiduría 100% sin gluten especializada en pescado frito y carnes a la brasa.</t>
        </is>
      </c>
      <c r="AM51" t="b">
        <v>1</v>
      </c>
      <c r="AN51" t="b">
        <v>0</v>
      </c>
      <c r="AT51" t="inlineStr">
        <is>
          <t>Celinews: 'Restaurante 100% sin gluten especializado es pescado frito y carnes a la brasa'. Disfrutando sin Gluten: 'usan harina de garbanzo para todos sus platos'. PRÜFEN.</t>
        </is>
      </c>
      <c r="AV51" t="inlineStr">
        <is>
          <t>regional_association</t>
        </is>
      </c>
      <c r="AW51" t="inlineStr">
        <is>
          <t>redsevillasingluten.org + celinews.com + disfrutandosingluten.es</t>
        </is>
      </c>
      <c r="AX51" t="inlineStr">
        <is>
          <t>2026-04-25</t>
        </is>
      </c>
      <c r="AY51" t="inlineStr">
        <is>
          <t>2026-04-25</t>
        </is>
      </c>
    </row>
    <row r="52" ht="80.09999999999999" customHeight="1">
      <c r="A52" t="inlineStr">
        <is>
          <t>es_an_006</t>
        </is>
      </c>
      <c r="B52" t="inlineStr">
        <is>
          <t>Taberna La Oficina</t>
        </is>
      </c>
      <c r="C52" t="inlineStr">
        <is>
          <t>taberna-la-oficina-sevilla</t>
        </is>
      </c>
      <c r="D52" t="inlineStr">
        <is>
          <t>ES</t>
        </is>
      </c>
      <c r="E52" t="inlineStr">
        <is>
          <t>ES-AN</t>
        </is>
      </c>
      <c r="F52" t="inlineStr">
        <is>
          <t>Andalucía</t>
        </is>
      </c>
      <c r="G52" t="inlineStr">
        <is>
          <t>Sevilla</t>
        </is>
      </c>
      <c r="H52" t="inlineStr">
        <is>
          <t>Sevilla</t>
        </is>
      </c>
      <c r="K52" t="inlineStr">
        <is>
          <t>Pl. Amoríos, 1, local A</t>
        </is>
      </c>
      <c r="L52" t="n">
        <v>37.38863</v>
      </c>
      <c r="M52" t="n">
        <v>-5.99534</v>
      </c>
      <c r="P52" t="inlineStr">
        <is>
          <t>restaurant</t>
        </is>
      </c>
      <c r="Q52" t="inlineStr">
        <is>
          <t>venezolana, internacional</t>
        </is>
      </c>
      <c r="R52" t="inlineStr">
        <is>
          <t>€€</t>
        </is>
      </c>
      <c r="S52" t="inlineStr">
        <is>
          <t>breakfast, lunch, dinner</t>
        </is>
      </c>
      <c r="T52" t="inlineStr">
        <is>
          <t>pending_verification</t>
        </is>
      </c>
      <c r="W52" t="b">
        <v>0</v>
      </c>
      <c r="X52" t="b">
        <v>0</v>
      </c>
      <c r="Y52" t="inlineStr">
        <is>
          <t>Red Sevilla Sin Gluten</t>
        </is>
      </c>
      <c r="AI52" t="inlineStr">
        <is>
          <t>100% glutenfreie Taverne mit venezolanischer Fusionsküche.</t>
        </is>
      </c>
      <c r="AJ52" t="inlineStr">
        <is>
          <t>100% gluten-free tavern with Venezuelan fusion cuisine.</t>
        </is>
      </c>
      <c r="AK52" t="inlineStr">
        <is>
          <t>Taberna 100% sin gluten con cocina de fusión venezolana.</t>
        </is>
      </c>
      <c r="AM52" t="b">
        <v>1</v>
      </c>
      <c r="AN52" t="b">
        <v>0</v>
      </c>
      <c r="AT52" t="inlineStr">
        <is>
          <t>Celinews: 'Restaurante 100% sin gluten con una cocina de fusión con alma venezolana'. RSSG-Netzwerk. PRÜFEN.</t>
        </is>
      </c>
      <c r="AV52" t="inlineStr">
        <is>
          <t>regional_association</t>
        </is>
      </c>
      <c r="AW52" t="inlineStr">
        <is>
          <t>redsevillasingluten.org + celinews.com</t>
        </is>
      </c>
      <c r="AX52" t="inlineStr">
        <is>
          <t>2026-04-25</t>
        </is>
      </c>
      <c r="AY52" t="inlineStr">
        <is>
          <t>2026-04-25</t>
        </is>
      </c>
    </row>
    <row r="53" ht="80.09999999999999" customHeight="1">
      <c r="A53" t="inlineStr">
        <is>
          <t>es_an_007</t>
        </is>
      </c>
      <c r="B53" t="inlineStr">
        <is>
          <t>La Monella</t>
        </is>
      </c>
      <c r="C53" t="inlineStr">
        <is>
          <t>la-monella-sevilla</t>
        </is>
      </c>
      <c r="D53" t="inlineStr">
        <is>
          <t>ES</t>
        </is>
      </c>
      <c r="E53" t="inlineStr">
        <is>
          <t>ES-AN</t>
        </is>
      </c>
      <c r="F53" t="inlineStr">
        <is>
          <t>Andalucía</t>
        </is>
      </c>
      <c r="G53" t="inlineStr">
        <is>
          <t>Sevilla</t>
        </is>
      </c>
      <c r="H53" t="inlineStr">
        <is>
          <t>Sevilla</t>
        </is>
      </c>
      <c r="I53" t="inlineStr">
        <is>
          <t>Sevilla Este</t>
        </is>
      </c>
      <c r="K53" t="inlineStr">
        <is>
          <t>Av. Alcalde Luis Uruñuela, Edificio Congreso, local 18</t>
        </is>
      </c>
      <c r="L53" t="n">
        <v>37.38863</v>
      </c>
      <c r="M53" t="n">
        <v>-5.99534</v>
      </c>
      <c r="P53" t="inlineStr">
        <is>
          <t>restaurant</t>
        </is>
      </c>
      <c r="Q53" t="inlineStr">
        <is>
          <t>italiana, pizzas, pasta</t>
        </is>
      </c>
      <c r="R53" t="inlineStr">
        <is>
          <t>€€</t>
        </is>
      </c>
      <c r="S53" t="inlineStr">
        <is>
          <t>lunch, dinner</t>
        </is>
      </c>
      <c r="T53" t="inlineStr">
        <is>
          <t>pending_verification</t>
        </is>
      </c>
      <c r="W53" t="b">
        <v>0</v>
      </c>
      <c r="X53" t="b">
        <v>0</v>
      </c>
      <c r="Y53" t="inlineStr">
        <is>
          <t>Red Sevilla Sin Gluten</t>
        </is>
      </c>
      <c r="AI53" t="inlineStr">
        <is>
          <t>100% glutenfreies und laktosefreies italienisches Restaurant.</t>
        </is>
      </c>
      <c r="AJ53" t="inlineStr">
        <is>
          <t>100% gluten-free and lactose-free Italian restaurant.</t>
        </is>
      </c>
      <c r="AK53" t="inlineStr">
        <is>
          <t>Restaurante italiano 100% sin gluten y sin lactosa.</t>
        </is>
      </c>
      <c r="AM53" t="b">
        <v>1</v>
      </c>
      <c r="AN53" t="b">
        <v>0</v>
      </c>
      <c r="AT53" t="inlineStr">
        <is>
          <t>Celinews: 'Restaurante italiano 100% sin gluten y sin lactosa'. RSSG-Netzwerk. PRÜFEN.</t>
        </is>
      </c>
      <c r="AV53" t="inlineStr">
        <is>
          <t>regional_association</t>
        </is>
      </c>
      <c r="AW53" t="inlineStr">
        <is>
          <t>redsevillasingluten.org + celinews.com</t>
        </is>
      </c>
      <c r="AX53" t="inlineStr">
        <is>
          <t>2026-04-25</t>
        </is>
      </c>
      <c r="AY53" t="inlineStr">
        <is>
          <t>2026-04-25</t>
        </is>
      </c>
    </row>
    <row r="54" ht="80.09999999999999" customHeight="1">
      <c r="A54" t="inlineStr">
        <is>
          <t>es_an_008</t>
        </is>
      </c>
      <c r="B54" t="inlineStr">
        <is>
          <t>Petit Comité</t>
        </is>
      </c>
      <c r="C54" t="inlineStr">
        <is>
          <t>petit-comite-sevilla</t>
        </is>
      </c>
      <c r="D54" t="inlineStr">
        <is>
          <t>ES</t>
        </is>
      </c>
      <c r="E54" t="inlineStr">
        <is>
          <t>ES-AN</t>
        </is>
      </c>
      <c r="F54" t="inlineStr">
        <is>
          <t>Andalucía</t>
        </is>
      </c>
      <c r="G54" t="inlineStr">
        <is>
          <t>Sevilla</t>
        </is>
      </c>
      <c r="H54" t="inlineStr">
        <is>
          <t>Sevilla</t>
        </is>
      </c>
      <c r="K54" t="inlineStr">
        <is>
          <t>C. Dos de Mayo, 30</t>
        </is>
      </c>
      <c r="L54" t="n">
        <v>37.384632</v>
      </c>
      <c r="M54" t="n">
        <v>-5.996713</v>
      </c>
      <c r="P54" t="inlineStr">
        <is>
          <t>bar_tapas</t>
        </is>
      </c>
      <c r="Q54" t="inlineStr">
        <is>
          <t>tapas, espanola</t>
        </is>
      </c>
      <c r="R54" t="inlineStr">
        <is>
          <t>€€</t>
        </is>
      </c>
      <c r="S54" t="inlineStr">
        <is>
          <t>lunch, dinner, snacks</t>
        </is>
      </c>
      <c r="T54" t="inlineStr">
        <is>
          <t>pending_verification</t>
        </is>
      </c>
      <c r="W54" t="b">
        <v>0</v>
      </c>
      <c r="X54" t="b">
        <v>0</v>
      </c>
      <c r="Y54" t="inlineStr">
        <is>
          <t>Red Sevilla Sin Gluten</t>
        </is>
      </c>
      <c r="AM54" t="b">
        <v>1</v>
      </c>
      <c r="AN54" t="b">
        <v>0</v>
      </c>
      <c r="AT54" t="inlineStr">
        <is>
          <t>Red Sevilla Sin Gluten: 'Restaurante · bar de tapas'. PRÜFEN: ist es 100% GF oder Mischbetrieb mit GF-Karte?</t>
        </is>
      </c>
      <c r="AV54" t="inlineStr">
        <is>
          <t>regional_association</t>
        </is>
      </c>
      <c r="AW54" t="inlineStr">
        <is>
          <t>redsevillasingluten.org — Status 100% UNKLAR</t>
        </is>
      </c>
      <c r="AX54" t="inlineStr">
        <is>
          <t>2026-04-25</t>
        </is>
      </c>
      <c r="AY54" t="inlineStr">
        <is>
          <t>2026-04-25</t>
        </is>
      </c>
    </row>
    <row r="55" ht="80.09999999999999" customHeight="1">
      <c r="A55" t="inlineStr">
        <is>
          <t>es_an_009</t>
        </is>
      </c>
      <c r="B55" t="inlineStr">
        <is>
          <t>Mehl Bermejales</t>
        </is>
      </c>
      <c r="C55" t="inlineStr">
        <is>
          <t>mehl-bermejales-sevilla</t>
        </is>
      </c>
      <c r="D55" t="inlineStr">
        <is>
          <t>ES</t>
        </is>
      </c>
      <c r="E55" t="inlineStr">
        <is>
          <t>ES-AN</t>
        </is>
      </c>
      <c r="F55" t="inlineStr">
        <is>
          <t>Andalucía</t>
        </is>
      </c>
      <c r="G55" t="inlineStr">
        <is>
          <t>Sevilla</t>
        </is>
      </c>
      <c r="H55" t="inlineStr">
        <is>
          <t>Sevilla</t>
        </is>
      </c>
      <c r="I55" t="inlineStr">
        <is>
          <t>Bermejales</t>
        </is>
      </c>
      <c r="K55" t="inlineStr">
        <is>
          <t>Av. de Alemania, 20</t>
        </is>
      </c>
      <c r="L55" t="n">
        <v>37.345743</v>
      </c>
      <c r="M55" t="n">
        <v>-5.981064</v>
      </c>
      <c r="P55" t="inlineStr">
        <is>
          <t>cafe</t>
        </is>
      </c>
      <c r="Q55" t="inlineStr">
        <is>
          <t>saludable</t>
        </is>
      </c>
      <c r="R55" t="inlineStr">
        <is>
          <t>€€</t>
        </is>
      </c>
      <c r="S55" t="inlineStr">
        <is>
          <t>breakfast, brunch, snacks</t>
        </is>
      </c>
      <c r="T55" t="inlineStr">
        <is>
          <t>pending_verification</t>
        </is>
      </c>
      <c r="W55" t="b">
        <v>0</v>
      </c>
      <c r="X55" t="b">
        <v>0</v>
      </c>
      <c r="Y55" t="inlineStr">
        <is>
          <t>Red Sevilla Sin Gluten</t>
        </is>
      </c>
      <c r="AM55" t="b">
        <v>1</v>
      </c>
      <c r="AN55" t="b">
        <v>0</v>
      </c>
      <c r="AT55" t="inlineStr">
        <is>
          <t>RSSG-Netzwerk: 'Producto de cercanía · cafetería'. PRÜFEN: Status 100% GF.</t>
        </is>
      </c>
      <c r="AV55" t="inlineStr">
        <is>
          <t>regional_association</t>
        </is>
      </c>
      <c r="AW55" t="inlineStr">
        <is>
          <t>redsevillasingluten.org — Status 100% UNKLAR</t>
        </is>
      </c>
      <c r="AX55" t="inlineStr">
        <is>
          <t>2026-04-25</t>
        </is>
      </c>
      <c r="AY55" t="inlineStr">
        <is>
          <t>2026-04-25</t>
        </is>
      </c>
    </row>
    <row r="56" ht="80.09999999999999" customHeight="1">
      <c r="A56" t="inlineStr">
        <is>
          <t>es_an_010</t>
        </is>
      </c>
      <c r="B56" t="inlineStr">
        <is>
          <t>Casa Antonio Fuengirola</t>
        </is>
      </c>
      <c r="C56" t="inlineStr">
        <is>
          <t>casa-antonio-fuengirola</t>
        </is>
      </c>
      <c r="D56" t="inlineStr">
        <is>
          <t>ES</t>
        </is>
      </c>
      <c r="E56" t="inlineStr">
        <is>
          <t>ES-AN</t>
        </is>
      </c>
      <c r="F56" t="inlineStr">
        <is>
          <t>Andalucía</t>
        </is>
      </c>
      <c r="G56" t="inlineStr">
        <is>
          <t>Málaga</t>
        </is>
      </c>
      <c r="H56" t="inlineStr">
        <is>
          <t>Fuengirola</t>
        </is>
      </c>
      <c r="L56" t="n">
        <v>36.53884</v>
      </c>
      <c r="M56" t="n">
        <v>-4.623397</v>
      </c>
      <c r="P56" t="inlineStr">
        <is>
          <t>restaurant</t>
        </is>
      </c>
      <c r="Q56" t="inlineStr">
        <is>
          <t>andaluza, espanola</t>
        </is>
      </c>
      <c r="R56" t="inlineStr">
        <is>
          <t>€€</t>
        </is>
      </c>
      <c r="S56" t="inlineStr">
        <is>
          <t>lunch, dinner</t>
        </is>
      </c>
      <c r="T56" t="inlineStr">
        <is>
          <t>pending_verification</t>
        </is>
      </c>
      <c r="W56" t="b">
        <v>0</v>
      </c>
      <c r="X56" t="b">
        <v>0</v>
      </c>
      <c r="AI56" t="inlineStr">
        <is>
          <t>100% glutenfreies Restaurant in Fuengirola mit traditioneller Málaga-Küche.</t>
        </is>
      </c>
      <c r="AJ56" t="inlineStr">
        <is>
          <t>100% gluten-free restaurant in Fuengirola with traditional Málaga cuisine.</t>
        </is>
      </c>
      <c r="AK56" t="inlineStr">
        <is>
          <t>Restaurante 100% sin gluten en Fuengirola con cocina malagueña tradicional.</t>
        </is>
      </c>
      <c r="AM56" t="b">
        <v>1</v>
      </c>
      <c r="AN56" t="b">
        <v>0</v>
      </c>
      <c r="AT56" t="inlineStr">
        <is>
          <t>Celicidad: '100% sin gluten en el que disfrutar de la tradición malagueña'. PRÜFEN: Adresse, Telefon.</t>
        </is>
      </c>
      <c r="AV56" t="inlineStr">
        <is>
          <t>blog_research</t>
        </is>
      </c>
      <c r="AW56" t="inlineStr">
        <is>
          <t>celicidad.net (Stand 07/2024)</t>
        </is>
      </c>
      <c r="AX56" t="inlineStr">
        <is>
          <t>2026-04-25</t>
        </is>
      </c>
      <c r="AY56" t="inlineStr">
        <is>
          <t>2026-04-25</t>
        </is>
      </c>
    </row>
    <row r="57" ht="80.09999999999999" customHeight="1">
      <c r="A57" t="inlineStr">
        <is>
          <t>es_an_011</t>
        </is>
      </c>
      <c r="B57" t="inlineStr">
        <is>
          <t>Sociedad de Plateros María Auxiliadora</t>
        </is>
      </c>
      <c r="C57" t="inlineStr">
        <is>
          <t>plateros-maria-auxiliadora-cordoba</t>
        </is>
      </c>
      <c r="D57" t="inlineStr">
        <is>
          <t>ES</t>
        </is>
      </c>
      <c r="E57" t="inlineStr">
        <is>
          <t>ES-AN</t>
        </is>
      </c>
      <c r="F57" t="inlineStr">
        <is>
          <t>Andalucía</t>
        </is>
      </c>
      <c r="G57" t="inlineStr">
        <is>
          <t>Córdoba</t>
        </is>
      </c>
      <c r="H57" t="inlineStr">
        <is>
          <t>Córdoba</t>
        </is>
      </c>
      <c r="L57" t="n">
        <v>37.884581</v>
      </c>
      <c r="M57" t="n">
        <v>-4.776014</v>
      </c>
      <c r="P57" t="inlineStr">
        <is>
          <t>restaurant</t>
        </is>
      </c>
      <c r="Q57" t="inlineStr">
        <is>
          <t>andaluza, cordobesa, espanola</t>
        </is>
      </c>
      <c r="R57" t="inlineStr">
        <is>
          <t>€€€</t>
        </is>
      </c>
      <c r="S57" t="inlineStr">
        <is>
          <t>lunch, dinner</t>
        </is>
      </c>
      <c r="T57" t="inlineStr">
        <is>
          <t>pending_verification</t>
        </is>
      </c>
      <c r="W57" t="b">
        <v>0</v>
      </c>
      <c r="X57" t="b">
        <v>0</v>
      </c>
      <c r="AM57" t="b">
        <v>1</v>
      </c>
      <c r="AN57" t="b">
        <v>0</v>
      </c>
      <c r="AT57" t="inlineStr">
        <is>
          <t>Celicidad-RANKING 2024: Bestes GF-Restaurant Spaniens. UNKLAR ob 100% GF — 'vajilla especial para nosotros y elaboran su propio pan' deutet eher auf Mischbetrieb. KLÄRUNGSBEDARF! Möglicherweise nicht für 100%-GF-Datenbank geeignet.</t>
        </is>
      </c>
      <c r="AV57" t="inlineStr">
        <is>
          <t>blog_research</t>
        </is>
      </c>
      <c r="AW57" t="inlineStr">
        <is>
          <t>celicidad.net (Stand 07/2024). Status 100% UNKLAR — möglicherweise Mischbetrieb.</t>
        </is>
      </c>
      <c r="AX57" t="inlineStr">
        <is>
          <t>2026-04-25</t>
        </is>
      </c>
      <c r="AY57" t="inlineStr">
        <is>
          <t>2026-04-25</t>
        </is>
      </c>
    </row>
    <row r="58" ht="80.09999999999999" customHeight="1">
      <c r="A58" t="inlineStr">
        <is>
          <t>es_pv_001</t>
        </is>
      </c>
      <c r="B58" t="inlineStr">
        <is>
          <t>Naked &amp; Sated Bilbao</t>
        </is>
      </c>
      <c r="C58" t="inlineStr">
        <is>
          <t>naked-sated-bilbao</t>
        </is>
      </c>
      <c r="D58" t="inlineStr">
        <is>
          <t>ES</t>
        </is>
      </c>
      <c r="E58" t="inlineStr">
        <is>
          <t>ES-PV</t>
        </is>
      </c>
      <c r="F58" t="inlineStr">
        <is>
          <t>País Vasco / Euskadi</t>
        </is>
      </c>
      <c r="G58" t="inlineStr">
        <is>
          <t>Vizcaya</t>
        </is>
      </c>
      <c r="H58" t="inlineStr">
        <is>
          <t>Bilbao</t>
        </is>
      </c>
      <c r="I58" t="inlineStr">
        <is>
          <t>Abando</t>
        </is>
      </c>
      <c r="J58" t="inlineStr">
        <is>
          <t>48001</t>
        </is>
      </c>
      <c r="K58" t="inlineStr">
        <is>
          <t>Paseo de Uribitarte, 4</t>
        </is>
      </c>
      <c r="L58" t="n">
        <v>43.26507</v>
      </c>
      <c r="M58" t="n">
        <v>-2.927787</v>
      </c>
      <c r="P58" t="inlineStr">
        <is>
          <t>restaurant</t>
        </is>
      </c>
      <c r="Q58" t="inlineStr">
        <is>
          <t>saludable, hamburguesas, pizzas, internacional</t>
        </is>
      </c>
      <c r="R58" t="inlineStr">
        <is>
          <t>€€</t>
        </is>
      </c>
      <c r="S58" t="inlineStr">
        <is>
          <t>brunch, lunch, dinner</t>
        </is>
      </c>
      <c r="T58" t="inlineStr">
        <is>
          <t>pending_verification</t>
        </is>
      </c>
      <c r="W58" t="b">
        <v>0</v>
      </c>
      <c r="X58" t="b">
        <v>0</v>
      </c>
      <c r="Y58" t="inlineStr">
        <is>
          <t>Celiacos Euskadi</t>
        </is>
      </c>
      <c r="AI58" t="inlineStr">
        <is>
          <t>100% glutenfreies Restaurant mit Pizza, Burgern, Brunch und gesunden Donuts.</t>
        </is>
      </c>
      <c r="AJ58" t="inlineStr">
        <is>
          <t>100% gluten-free restaurant with pizzas, burgers, brunch and healthy donuts.</t>
        </is>
      </c>
      <c r="AK58" t="inlineStr">
        <is>
          <t>Restaurante 100% sin gluten con pizzas, hamburguesas, brunch y donuts saludables.</t>
        </is>
      </c>
      <c r="AM58" t="b">
        <v>1</v>
      </c>
      <c r="AN58" t="b">
        <v>0</v>
      </c>
      <c r="AT58" t="inlineStr">
        <is>
          <t>Disfrutando sin Gluten + Celiaquita: '100% sin gluten y alimentación saludable y libre de azúcares añadidos'. Eröffnet 2021 in Bilbao. Kette von Roberto Bosquet (auch in Madrid + Valencia). PRÜFEN.</t>
        </is>
      </c>
      <c r="AV58" t="inlineStr">
        <is>
          <t>blog_research</t>
        </is>
      </c>
      <c r="AW58" t="inlineStr">
        <is>
          <t>disfrutandosingluten.es + celiaquita.com (Stand 02/2026)</t>
        </is>
      </c>
      <c r="AX58" t="inlineStr">
        <is>
          <t>2026-04-25</t>
        </is>
      </c>
      <c r="AY58" t="inlineStr">
        <is>
          <t>2026-04-25</t>
        </is>
      </c>
    </row>
    <row r="59" ht="80.09999999999999" customHeight="1">
      <c r="A59" t="inlineStr">
        <is>
          <t>es_pv_002</t>
        </is>
      </c>
      <c r="B59" t="inlineStr">
        <is>
          <t>Bausk</t>
        </is>
      </c>
      <c r="C59" t="inlineStr">
        <is>
          <t>bausk-bilbao</t>
        </is>
      </c>
      <c r="D59" t="inlineStr">
        <is>
          <t>ES</t>
        </is>
      </c>
      <c r="E59" t="inlineStr">
        <is>
          <t>ES-PV</t>
        </is>
      </c>
      <c r="F59" t="inlineStr">
        <is>
          <t>País Vasco / Euskadi</t>
        </is>
      </c>
      <c r="G59" t="inlineStr">
        <is>
          <t>Vizcaya</t>
        </is>
      </c>
      <c r="H59" t="inlineStr">
        <is>
          <t>Bilbao</t>
        </is>
      </c>
      <c r="I59" t="inlineStr">
        <is>
          <t>Centro</t>
        </is>
      </c>
      <c r="L59" t="n">
        <v>43.263002</v>
      </c>
      <c r="M59" t="n">
        <v>-2.935004</v>
      </c>
      <c r="P59" t="inlineStr">
        <is>
          <t>restaurant</t>
        </is>
      </c>
      <c r="Q59" t="inlineStr">
        <is>
          <t>saludable, internacional</t>
        </is>
      </c>
      <c r="R59" t="inlineStr">
        <is>
          <t>€€</t>
        </is>
      </c>
      <c r="S59" t="inlineStr">
        <is>
          <t>lunch, dinner</t>
        </is>
      </c>
      <c r="T59" t="inlineStr">
        <is>
          <t>pending_verification</t>
        </is>
      </c>
      <c r="W59" t="b">
        <v>0</v>
      </c>
      <c r="X59" t="b">
        <v>0</v>
      </c>
      <c r="Y59" t="inlineStr">
        <is>
          <t>Celiacos Euskadi</t>
        </is>
      </c>
      <c r="AI59" t="inlineStr">
        <is>
          <t>Gesunde Bowls, 100% glutenfrei mit veganen Optionen im Zentrum von Bilbao.</t>
        </is>
      </c>
      <c r="AJ59" t="inlineStr">
        <is>
          <t>Healthy bowls, 100% gluten-free with vegan options in central Bilbao.</t>
        </is>
      </c>
      <c r="AK59" t="inlineStr">
        <is>
          <t>Boles saludables 100% sin gluten con opciones veganas en el centro de Bilbao.</t>
        </is>
      </c>
      <c r="AM59" t="b">
        <v>1</v>
      </c>
      <c r="AN59" t="b">
        <v>0</v>
      </c>
      <c r="AT59" t="inlineStr">
        <is>
          <t>Disfrutando sin Gluten: 'En pleno centro de Bilbao, boles saludables 100% sin gluten y con opciones veganas'. PRÜFEN: Adresse.</t>
        </is>
      </c>
      <c r="AV59" t="inlineStr">
        <is>
          <t>blog_research</t>
        </is>
      </c>
      <c r="AW59" t="inlineStr">
        <is>
          <t>disfrutandosingluten.es (Stand 02/2026)</t>
        </is>
      </c>
      <c r="AX59" t="inlineStr">
        <is>
          <t>2026-04-25</t>
        </is>
      </c>
      <c r="AY59" t="inlineStr">
        <is>
          <t>2026-04-25</t>
        </is>
      </c>
    </row>
    <row r="60" ht="80.09999999999999" customHeight="1">
      <c r="A60" t="inlineStr">
        <is>
          <t>es_pv_003</t>
        </is>
      </c>
      <c r="B60" t="inlineStr">
        <is>
          <t>Grosso Napoletano Bilbao</t>
        </is>
      </c>
      <c r="C60" t="inlineStr">
        <is>
          <t>grosso-napoletano-bilbao</t>
        </is>
      </c>
      <c r="D60" t="inlineStr">
        <is>
          <t>ES</t>
        </is>
      </c>
      <c r="E60" t="inlineStr">
        <is>
          <t>ES-PV</t>
        </is>
      </c>
      <c r="F60" t="inlineStr">
        <is>
          <t>País Vasco / Euskadi</t>
        </is>
      </c>
      <c r="G60" t="inlineStr">
        <is>
          <t>Vizcaya</t>
        </is>
      </c>
      <c r="H60" t="inlineStr">
        <is>
          <t>Bilbao</t>
        </is>
      </c>
      <c r="L60" t="n">
        <v>43.263002</v>
      </c>
      <c r="M60" t="n">
        <v>-2.935004</v>
      </c>
      <c r="P60" t="inlineStr">
        <is>
          <t>pizzeria</t>
        </is>
      </c>
      <c r="Q60" t="inlineStr">
        <is>
          <t>italiana, pizzas, pasta</t>
        </is>
      </c>
      <c r="R60" t="inlineStr">
        <is>
          <t>€€</t>
        </is>
      </c>
      <c r="S60" t="inlineStr">
        <is>
          <t>lunch, dinner</t>
        </is>
      </c>
      <c r="T60" t="inlineStr">
        <is>
          <t>pending_verification</t>
        </is>
      </c>
      <c r="W60" t="b">
        <v>1</v>
      </c>
      <c r="X60" t="b">
        <v>0</v>
      </c>
      <c r="Y60" t="inlineStr">
        <is>
          <t>FACE, Celiacos Euskadi</t>
        </is>
      </c>
      <c r="AI60" t="inlineStr">
        <is>
          <t>100% glutenfreie neapolitanische Pizzeria in Bilbao, erste 100%-GF-Filiale der Kette.</t>
        </is>
      </c>
      <c r="AJ60" t="inlineStr">
        <is>
          <t>100% gluten-free Neapolitan pizzeria in Bilbao, the chain's first 100% GF location.</t>
        </is>
      </c>
      <c r="AK60" t="inlineStr">
        <is>
          <t>Pizzería napolitana 100% sin gluten en Bilbao, primer local 100% GF de la cadena.</t>
        </is>
      </c>
      <c r="AM60" t="b">
        <v>1</v>
      </c>
      <c r="AN60" t="b">
        <v>0</v>
      </c>
      <c r="AT60" t="inlineStr">
        <is>
          <t>Disfrutando sin Gluten: 'La famosa cadena de restaurantes abrió su primer local 100% sin gluten en Bilbao en 2024'. ACHTUNG: nur dieser Standort 100% GF — andere Grosso Napoletano-Filialen mit Gluten! PRÜFEN: Adresse, aktueller Status.</t>
        </is>
      </c>
      <c r="AV60" t="inlineStr">
        <is>
          <t>blog_research</t>
        </is>
      </c>
      <c r="AW60" t="inlineStr">
        <is>
          <t>disfrutandosingluten.es (Stand 02/2026). NUR diese Filiale 100% GF!</t>
        </is>
      </c>
      <c r="AX60" t="inlineStr">
        <is>
          <t>2026-04-25</t>
        </is>
      </c>
      <c r="AY60" t="inlineStr">
        <is>
          <t>2026-04-25</t>
        </is>
      </c>
    </row>
    <row r="61" ht="80.09999999999999" customHeight="1">
      <c r="A61" t="inlineStr">
        <is>
          <t>es_pv_004</t>
        </is>
      </c>
      <c r="B61" t="inlineStr">
        <is>
          <t>New York Diner Bilbao</t>
        </is>
      </c>
      <c r="C61" t="inlineStr">
        <is>
          <t>new-york-diner-bilbao</t>
        </is>
      </c>
      <c r="D61" t="inlineStr">
        <is>
          <t>ES</t>
        </is>
      </c>
      <c r="E61" t="inlineStr">
        <is>
          <t>ES-PV</t>
        </is>
      </c>
      <c r="F61" t="inlineStr">
        <is>
          <t>País Vasco / Euskadi</t>
        </is>
      </c>
      <c r="G61" t="inlineStr">
        <is>
          <t>Vizcaya</t>
        </is>
      </c>
      <c r="H61" t="inlineStr">
        <is>
          <t>Bilbao</t>
        </is>
      </c>
      <c r="I61" t="inlineStr">
        <is>
          <t>San Mamés</t>
        </is>
      </c>
      <c r="L61" t="n">
        <v>43.263002</v>
      </c>
      <c r="M61" t="n">
        <v>-2.935004</v>
      </c>
      <c r="P61" t="inlineStr">
        <is>
          <t>restaurant</t>
        </is>
      </c>
      <c r="Q61" t="inlineStr">
        <is>
          <t>internacional, hamburguesas</t>
        </is>
      </c>
      <c r="R61" t="inlineStr">
        <is>
          <t>€€</t>
        </is>
      </c>
      <c r="S61" t="inlineStr">
        <is>
          <t>lunch, dinner</t>
        </is>
      </c>
      <c r="T61" t="inlineStr">
        <is>
          <t>pending_verification</t>
        </is>
      </c>
      <c r="W61" t="b">
        <v>0</v>
      </c>
      <c r="X61" t="b">
        <v>0</v>
      </c>
      <c r="Y61" t="inlineStr">
        <is>
          <t>Celiacos Euskadi</t>
        </is>
      </c>
      <c r="AI61" t="inlineStr">
        <is>
          <t>Amerikanischer 50er-Jahre-Diner, 100% glutenfrei, nahe San-Mamés-Stadion.</t>
        </is>
      </c>
      <c r="AJ61" t="inlineStr">
        <is>
          <t>American 50's-style diner, 100% gluten-free, near San Mamés stadium.</t>
        </is>
      </c>
      <c r="AK61" t="inlineStr">
        <is>
          <t>Diner americano años 50 100% sin gluten cerca de San Mamés.</t>
        </is>
      </c>
      <c r="AM61" t="b">
        <v>1</v>
      </c>
      <c r="AN61" t="b">
        <v>0</v>
      </c>
      <c r="AT61" t="inlineStr">
        <is>
          <t>Celiaquita: 'comiendo 100% sin gluten este es el restaurante sin gluten de Bilbao adecuado'. Nahe San Mamés-Stadion. Lieferung über Webseite. PRÜFEN: Adresse.</t>
        </is>
      </c>
      <c r="AV61" t="inlineStr">
        <is>
          <t>blog_research</t>
        </is>
      </c>
      <c r="AW61" t="inlineStr">
        <is>
          <t>celiaquita.com (Stand 01/2025)</t>
        </is>
      </c>
      <c r="AX61" t="inlineStr">
        <is>
          <t>2026-04-25</t>
        </is>
      </c>
      <c r="AY61" t="inlineStr">
        <is>
          <t>2026-04-25</t>
        </is>
      </c>
    </row>
    <row r="62" ht="80.09999999999999" customHeight="1">
      <c r="A62" t="inlineStr">
        <is>
          <t>es_pv_005</t>
        </is>
      </c>
      <c r="B62" t="inlineStr">
        <is>
          <t>Magora Bakery</t>
        </is>
      </c>
      <c r="C62" t="inlineStr">
        <is>
          <t>magora-bakery-bilbao</t>
        </is>
      </c>
      <c r="D62" t="inlineStr">
        <is>
          <t>ES</t>
        </is>
      </c>
      <c r="E62" t="inlineStr">
        <is>
          <t>ES-PV</t>
        </is>
      </c>
      <c r="F62" t="inlineStr">
        <is>
          <t>País Vasco / Euskadi</t>
        </is>
      </c>
      <c r="G62" t="inlineStr">
        <is>
          <t>Vizcaya</t>
        </is>
      </c>
      <c r="H62" t="inlineStr">
        <is>
          <t>Bilbao</t>
        </is>
      </c>
      <c r="L62" t="n">
        <v>43.263002</v>
      </c>
      <c r="M62" t="n">
        <v>-2.935004</v>
      </c>
      <c r="P62" t="inlineStr">
        <is>
          <t>bakery</t>
        </is>
      </c>
      <c r="Q62" t="inlineStr">
        <is>
          <t>saludable</t>
        </is>
      </c>
      <c r="R62" t="inlineStr">
        <is>
          <t>€€</t>
        </is>
      </c>
      <c r="S62" t="inlineStr">
        <is>
          <t>breakfast, snacks</t>
        </is>
      </c>
      <c r="T62" t="inlineStr">
        <is>
          <t>pending_verification</t>
        </is>
      </c>
      <c r="W62" t="b">
        <v>0</v>
      </c>
      <c r="X62" t="b">
        <v>0</v>
      </c>
      <c r="Y62" t="inlineStr">
        <is>
          <t>Celiacos Euskadi</t>
        </is>
      </c>
      <c r="AI62" t="inlineStr">
        <is>
          <t>100% glutenfreie Bäckerei in Bilbao mit laktose- und zuckerfreien Optionen.</t>
        </is>
      </c>
      <c r="AJ62" t="inlineStr">
        <is>
          <t>100% gluten-free bakery in Bilbao with lactose-free and sugar-free options.</t>
        </is>
      </c>
      <c r="AK62" t="inlineStr">
        <is>
          <t>Pastelería 100% sin gluten en Bilbao con opciones sin lactosa y sin azúcar.</t>
        </is>
      </c>
      <c r="AM62" t="b">
        <v>1</v>
      </c>
      <c r="AN62" t="b">
        <v>0</v>
      </c>
      <c r="AT62" t="inlineStr">
        <is>
          <t>Celiaquita: 'En Magora Bakery todo se prepara sin gluten... incluyendo opciones sin lactosa ni azúcar. Una de las mejores pastelerías sin gluten si buscas comprar pan sin gluten en Bilbao'. Inhaberin selbst Zöliakie-Betroffene. PRÜFEN.</t>
        </is>
      </c>
      <c r="AV62" t="inlineStr">
        <is>
          <t>blog_research</t>
        </is>
      </c>
      <c r="AW62" t="inlineStr">
        <is>
          <t>celiaquita.com (Stand 10/2025)</t>
        </is>
      </c>
      <c r="AX62" t="inlineStr">
        <is>
          <t>2026-04-25</t>
        </is>
      </c>
      <c r="AY62" t="inlineStr">
        <is>
          <t>2026-04-25</t>
        </is>
      </c>
    </row>
    <row r="63" ht="80.09999999999999" customHeight="1">
      <c r="A63" t="inlineStr">
        <is>
          <t>es_pv_006</t>
        </is>
      </c>
      <c r="B63" t="inlineStr">
        <is>
          <t>GOPHY</t>
        </is>
      </c>
      <c r="C63" t="inlineStr">
        <is>
          <t>gophy-vitoria-gasteiz</t>
        </is>
      </c>
      <c r="D63" t="inlineStr">
        <is>
          <t>ES</t>
        </is>
      </c>
      <c r="E63" t="inlineStr">
        <is>
          <t>ES-PV</t>
        </is>
      </c>
      <c r="F63" t="inlineStr">
        <is>
          <t>País Vasco / Euskadi</t>
        </is>
      </c>
      <c r="G63" t="inlineStr">
        <is>
          <t>Álava</t>
        </is>
      </c>
      <c r="H63" t="inlineStr">
        <is>
          <t>Vitoria-Gasteiz</t>
        </is>
      </c>
      <c r="I63" t="inlineStr">
        <is>
          <t>Centro</t>
        </is>
      </c>
      <c r="L63" t="n">
        <v>42.850584</v>
      </c>
      <c r="M63" t="n">
        <v>-2.66145</v>
      </c>
      <c r="P63" t="inlineStr">
        <is>
          <t>bakery</t>
        </is>
      </c>
      <c r="Q63" t="inlineStr">
        <is>
          <t>saludable</t>
        </is>
      </c>
      <c r="R63" t="inlineStr">
        <is>
          <t>€€</t>
        </is>
      </c>
      <c r="S63" t="inlineStr">
        <is>
          <t>breakfast, snacks</t>
        </is>
      </c>
      <c r="T63" t="inlineStr">
        <is>
          <t>pending_verification</t>
        </is>
      </c>
      <c r="W63" t="b">
        <v>0</v>
      </c>
      <c r="X63" t="b">
        <v>0</v>
      </c>
      <c r="Y63" t="inlineStr">
        <is>
          <t>Celiacos Euskadi</t>
        </is>
      </c>
      <c r="AI63" t="inlineStr">
        <is>
          <t>Handwerkliche 100% glutenfreie Bäckerei in Vitoria-Gasteiz, auch zuckerfrei und vegan.</t>
        </is>
      </c>
      <c r="AJ63" t="inlineStr">
        <is>
          <t>Artisan 100% gluten-free bakery in Vitoria-Gasteiz, also sugar-free and vegan options.</t>
        </is>
      </c>
      <c r="AK63" t="inlineStr">
        <is>
          <t>Obrador artesano 100% sin gluten en Vitoria-Gasteiz, también sin azúcar y opciones veganas.</t>
        </is>
      </c>
      <c r="AM63" t="b">
        <v>1</v>
      </c>
      <c r="AN63" t="b">
        <v>0</v>
      </c>
      <c r="AT63" t="inlineStr">
        <is>
          <t>Celiaquita TOP-Empfehlung: 'obrador artesano 100% exclusivo sin gluten que se encuentra en el centro de Gasteiz. Realizan elaboraciones sin azúcar... y también sin lactosa o veganas'. PRÜFEN: Adresse.</t>
        </is>
      </c>
      <c r="AV63" t="inlineStr">
        <is>
          <t>blog_research</t>
        </is>
      </c>
      <c r="AW63" t="inlineStr">
        <is>
          <t>celiaquita.com (Stand 10/2025) — TOP-Empfehlung</t>
        </is>
      </c>
      <c r="AX63" t="inlineStr">
        <is>
          <t>2026-04-25</t>
        </is>
      </c>
      <c r="AY63" t="inlineStr">
        <is>
          <t>2026-04-25</t>
        </is>
      </c>
    </row>
    <row r="64" ht="80.09999999999999" customHeight="1">
      <c r="A64" t="inlineStr">
        <is>
          <t>es_pv_007</t>
        </is>
      </c>
      <c r="B64" t="inlineStr">
        <is>
          <t>Casa Leotta (Pinsas)</t>
        </is>
      </c>
      <c r="C64" t="inlineStr">
        <is>
          <t>casa-leotta-bilbao</t>
        </is>
      </c>
      <c r="D64" t="inlineStr">
        <is>
          <t>ES</t>
        </is>
      </c>
      <c r="E64" t="inlineStr">
        <is>
          <t>ES-PV</t>
        </is>
      </c>
      <c r="F64" t="inlineStr">
        <is>
          <t>País Vasco / Euskadi</t>
        </is>
      </c>
      <c r="G64" t="inlineStr">
        <is>
          <t>Vizcaya</t>
        </is>
      </c>
      <c r="H64" t="inlineStr">
        <is>
          <t>Bilbao</t>
        </is>
      </c>
      <c r="L64" t="n">
        <v>43.263002</v>
      </c>
      <c r="M64" t="n">
        <v>-2.935004</v>
      </c>
      <c r="P64" t="inlineStr">
        <is>
          <t>pizzeria</t>
        </is>
      </c>
      <c r="Q64" t="inlineStr">
        <is>
          <t>italiana, pizzas</t>
        </is>
      </c>
      <c r="R64" t="inlineStr">
        <is>
          <t>€€</t>
        </is>
      </c>
      <c r="S64" t="inlineStr">
        <is>
          <t>lunch, dinner</t>
        </is>
      </c>
      <c r="T64" t="inlineStr">
        <is>
          <t>pending_verification</t>
        </is>
      </c>
      <c r="W64" t="b">
        <v>0</v>
      </c>
      <c r="X64" t="b">
        <v>0</v>
      </c>
      <c r="Y64" t="inlineStr">
        <is>
          <t>Celiacos Euskadi</t>
        </is>
      </c>
      <c r="AM64" t="b">
        <v>1</v>
      </c>
      <c r="AN64" t="b">
        <v>0</v>
      </c>
      <c r="AT64" t="inlineStr">
        <is>
          <t>Disfrutando sin Gluten: 'Casa Leotta. Con tres establecimientos, dos en Bilbao y otro en Getxo, son especialistas en pinsas (pizzas cuadradas). Asesorados por la asociación, es uno de los más recomendados'. UNKLAR ob 100% GF — Klärungsbedarf!</t>
        </is>
      </c>
      <c r="AV64" t="inlineStr">
        <is>
          <t>blog_research</t>
        </is>
      </c>
      <c r="AW64" t="inlineStr">
        <is>
          <t>disfrutandosingluten.es (Stand 02/2026) — Status 100% UNKLAR</t>
        </is>
      </c>
      <c r="AX64" t="inlineStr">
        <is>
          <t>2026-04-25</t>
        </is>
      </c>
      <c r="AY64" t="inlineStr">
        <is>
          <t>2026-04-25</t>
        </is>
      </c>
    </row>
    <row r="65" ht="80.09999999999999" customHeight="1">
      <c r="A65" t="inlineStr">
        <is>
          <t>es_pv_008</t>
        </is>
      </c>
      <c r="B65" t="inlineStr">
        <is>
          <t>Naked &amp; Sated San Sebastián</t>
        </is>
      </c>
      <c r="C65" t="inlineStr">
        <is>
          <t>naked-sated-san-sebastian</t>
        </is>
      </c>
      <c r="D65" t="inlineStr">
        <is>
          <t>ES</t>
        </is>
      </c>
      <c r="E65" t="inlineStr">
        <is>
          <t>ES-PV</t>
        </is>
      </c>
      <c r="F65" t="inlineStr">
        <is>
          <t>País Vasco / Euskadi</t>
        </is>
      </c>
      <c r="G65" t="inlineStr">
        <is>
          <t>Guipúzcoa</t>
        </is>
      </c>
      <c r="H65" t="inlineStr">
        <is>
          <t>San Sebastián / Donostia</t>
        </is>
      </c>
      <c r="L65" t="n">
        <v>43.320769</v>
      </c>
      <c r="M65" t="n">
        <v>-1.97929</v>
      </c>
      <c r="P65" t="inlineStr">
        <is>
          <t>restaurant</t>
        </is>
      </c>
      <c r="Q65" t="inlineStr">
        <is>
          <t>saludable, hamburguesas, pizzas</t>
        </is>
      </c>
      <c r="R65" t="inlineStr">
        <is>
          <t>€€</t>
        </is>
      </c>
      <c r="S65" t="inlineStr">
        <is>
          <t>brunch, lunch, dinner</t>
        </is>
      </c>
      <c r="T65" t="inlineStr">
        <is>
          <t>pending_verification</t>
        </is>
      </c>
      <c r="W65" t="b">
        <v>0</v>
      </c>
      <c r="X65" t="b">
        <v>0</v>
      </c>
      <c r="Y65" t="inlineStr">
        <is>
          <t>Celiacos Euskadi</t>
        </is>
      </c>
      <c r="AM65" t="b">
        <v>1</v>
      </c>
      <c r="AN65" t="b">
        <v>0</v>
      </c>
      <c r="AT65" t="inlineStr">
        <is>
          <t>PRÜFEN: Hat Naked &amp; Sated tatsächlich einen Standort in San Sebastián? Quellen erwähnen Madrid, Valencia, Bilbao — Donostia ungewiss. Möglicherweise nicht zutreffend.</t>
        </is>
      </c>
      <c r="AV65" t="inlineStr">
        <is>
          <t>blog_research</t>
        </is>
      </c>
      <c r="AW65" t="inlineStr">
        <is>
          <t>Vermutung — UNGEWISS ob Standort existiert. Sorgfältig prüfen!</t>
        </is>
      </c>
      <c r="AX65" t="inlineStr">
        <is>
          <t>2026-04-25</t>
        </is>
      </c>
      <c r="AY65" t="inlineStr">
        <is>
          <t>2026-04-25</t>
        </is>
      </c>
    </row>
    <row r="66" ht="80.09999999999999" customHeight="1">
      <c r="A66" t="inlineStr">
        <is>
          <t>es_ga_001</t>
        </is>
      </c>
      <c r="B66" t="inlineStr">
        <is>
          <t>Alium Vigo</t>
        </is>
      </c>
      <c r="C66" t="inlineStr">
        <is>
          <t>alium-vigo</t>
        </is>
      </c>
      <c r="D66" t="inlineStr">
        <is>
          <t>ES</t>
        </is>
      </c>
      <c r="E66" t="inlineStr">
        <is>
          <t>ES-GA</t>
        </is>
      </c>
      <c r="F66" t="inlineStr">
        <is>
          <t>Galicia</t>
        </is>
      </c>
      <c r="G66" t="inlineStr">
        <is>
          <t>Pontevedra</t>
        </is>
      </c>
      <c r="H66" t="inlineStr">
        <is>
          <t>Vigo</t>
        </is>
      </c>
      <c r="I66" t="inlineStr">
        <is>
          <t>Centro</t>
        </is>
      </c>
      <c r="L66" t="n">
        <v>42.198639</v>
      </c>
      <c r="M66" t="n">
        <v>-8.727956000000001</v>
      </c>
      <c r="P66" t="inlineStr">
        <is>
          <t>restaurant</t>
        </is>
      </c>
      <c r="Q66" t="inlineStr">
        <is>
          <t>internacional, mediterranea, asiatica, mexicana, vegana</t>
        </is>
      </c>
      <c r="R66" t="inlineStr">
        <is>
          <t>€€</t>
        </is>
      </c>
      <c r="S66" t="inlineStr">
        <is>
          <t>lunch, dinner</t>
        </is>
      </c>
      <c r="T66" t="inlineStr">
        <is>
          <t>pending_verification</t>
        </is>
      </c>
      <c r="W66" t="b">
        <v>0</v>
      </c>
      <c r="X66" t="b">
        <v>0</v>
      </c>
      <c r="Y66" t="inlineStr">
        <is>
          <t>ACEGA</t>
        </is>
      </c>
      <c r="Z66" t="inlineStr">
        <is>
          <t>+34697883367</t>
        </is>
      </c>
      <c r="AA66" t="inlineStr">
        <is>
          <t>+34697883367</t>
        </is>
      </c>
      <c r="AC66" t="inlineStr">
        <is>
          <t>https://aliumglutenfree.com</t>
        </is>
      </c>
      <c r="AI66" t="inlineStr">
        <is>
          <t>Vigos einziges 100% glutenfreies Restaurant. Mediterrane, asiatische und mexikanische Fusionsküche. Pet-friendly.</t>
        </is>
      </c>
      <c r="AJ66" t="inlineStr">
        <is>
          <t>Vigo's only 100% gluten-free restaurant. Mediterranean, Asian and Mexican fusion. Pet-friendly.</t>
        </is>
      </c>
      <c r="AK66" t="inlineStr">
        <is>
          <t>Único restaurante 100% sin gluten de Vigo. Cocina de fusión mediterránea, asiática y mexicana. Pet-friendly.</t>
        </is>
      </c>
      <c r="AM66" t="b">
        <v>1</v>
      </c>
      <c r="AN66" t="b">
        <v>0</v>
      </c>
      <c r="AT66" t="inlineStr">
        <is>
          <t>Eigene Webseite + Disfrutando sin Gluten: 'Único restaurante 100% sin gluten de la ciudad'. ACEGA-zertifiziert. Pet-friendly. Cocina de fusión (mediterránea, asiática, mexicana). Eigene Lieferung 4€. PRÜFEN: Adresse, aktuell.</t>
        </is>
      </c>
      <c r="AV66" t="inlineStr">
        <is>
          <t>official_website</t>
        </is>
      </c>
      <c r="AW66" t="inlineStr">
        <is>
          <t>aliumglutenfree.com + disfrutandosingluten.es (Stand 03/2026)</t>
        </is>
      </c>
      <c r="AX66" t="inlineStr">
        <is>
          <t>2026-04-25</t>
        </is>
      </c>
      <c r="AY66" t="inlineStr">
        <is>
          <t>2026-04-25</t>
        </is>
      </c>
    </row>
    <row r="67" ht="80.09999999999999" customHeight="1">
      <c r="A67" t="inlineStr">
        <is>
          <t>es_ga_002</t>
        </is>
      </c>
      <c r="B67" t="inlineStr">
        <is>
          <t>Celidulce</t>
        </is>
      </c>
      <c r="C67" t="inlineStr">
        <is>
          <t>celidulce-vigo</t>
        </is>
      </c>
      <c r="D67" t="inlineStr">
        <is>
          <t>ES</t>
        </is>
      </c>
      <c r="E67" t="inlineStr">
        <is>
          <t>ES-GA</t>
        </is>
      </c>
      <c r="F67" t="inlineStr">
        <is>
          <t>Galicia</t>
        </is>
      </c>
      <c r="G67" t="inlineStr">
        <is>
          <t>Pontevedra</t>
        </is>
      </c>
      <c r="H67" t="inlineStr">
        <is>
          <t>Vigo</t>
        </is>
      </c>
      <c r="L67" t="n">
        <v>42.198639</v>
      </c>
      <c r="M67" t="n">
        <v>-8.727956000000001</v>
      </c>
      <c r="P67" t="inlineStr">
        <is>
          <t>bakery</t>
        </is>
      </c>
      <c r="Q67" t="inlineStr">
        <is>
          <t>saludable</t>
        </is>
      </c>
      <c r="R67" t="inlineStr">
        <is>
          <t>€€</t>
        </is>
      </c>
      <c r="S67" t="inlineStr">
        <is>
          <t>snacks</t>
        </is>
      </c>
      <c r="T67" t="inlineStr">
        <is>
          <t>pending_verification</t>
        </is>
      </c>
      <c r="W67" t="b">
        <v>0</v>
      </c>
      <c r="X67" t="b">
        <v>0</v>
      </c>
      <c r="Y67" t="inlineStr">
        <is>
          <t>ACEGA</t>
        </is>
      </c>
      <c r="AI67" t="inlineStr">
        <is>
          <t>100% glutenfreie Handwerksbäckerei in Vigo, süß und herzhaft, Versand in ganz Spanien.</t>
        </is>
      </c>
      <c r="AJ67" t="inlineStr">
        <is>
          <t>100% gluten-free artisan bakery in Vigo, sweet and savory products, ships across Spain.</t>
        </is>
      </c>
      <c r="AK67" t="inlineStr">
        <is>
          <t>Obrador artesano 100% sin gluten en Vigo, productos dulces y salados, envíos a toda España.</t>
        </is>
      </c>
      <c r="AM67" t="b">
        <v>1</v>
      </c>
      <c r="AN67" t="b">
        <v>0</v>
      </c>
      <c r="AT67" t="inlineStr">
        <is>
          <t>Disfrutando sin Gluten: 'Obrador artesano con productos dulces y salados... 100% sin gluten... avalado por ACEGA'. Versand in ganz Spanien. PRÜFEN: Adresse.</t>
        </is>
      </c>
      <c r="AV67" t="inlineStr">
        <is>
          <t>regional_association</t>
        </is>
      </c>
      <c r="AW67" t="inlineStr">
        <is>
          <t>disfrutandosingluten.es + ACEGA (Stand 03/2026)</t>
        </is>
      </c>
      <c r="AX67" t="inlineStr">
        <is>
          <t>2026-04-25</t>
        </is>
      </c>
      <c r="AY67" t="inlineStr">
        <is>
          <t>2026-04-25</t>
        </is>
      </c>
    </row>
    <row r="68" ht="80.09999999999999" customHeight="1">
      <c r="A68" t="inlineStr">
        <is>
          <t>es_ga_003</t>
        </is>
      </c>
      <c r="B68" t="inlineStr">
        <is>
          <t>Pan para Todos</t>
        </is>
      </c>
      <c r="C68" t="inlineStr">
        <is>
          <t>pan-para-todos-vigo</t>
        </is>
      </c>
      <c r="D68" t="inlineStr">
        <is>
          <t>ES</t>
        </is>
      </c>
      <c r="E68" t="inlineStr">
        <is>
          <t>ES-GA</t>
        </is>
      </c>
      <c r="F68" t="inlineStr">
        <is>
          <t>Galicia</t>
        </is>
      </c>
      <c r="G68" t="inlineStr">
        <is>
          <t>Pontevedra</t>
        </is>
      </c>
      <c r="H68" t="inlineStr">
        <is>
          <t>Vigo</t>
        </is>
      </c>
      <c r="L68" t="n">
        <v>42.198639</v>
      </c>
      <c r="M68" t="n">
        <v>-8.727956000000001</v>
      </c>
      <c r="P68" t="inlineStr">
        <is>
          <t>bakery</t>
        </is>
      </c>
      <c r="Q68" t="inlineStr">
        <is>
          <t>saludable</t>
        </is>
      </c>
      <c r="R68" t="inlineStr">
        <is>
          <t>€€</t>
        </is>
      </c>
      <c r="S68" t="inlineStr">
        <is>
          <t>breakfast, snacks</t>
        </is>
      </c>
      <c r="T68" t="inlineStr">
        <is>
          <t>pending_verification</t>
        </is>
      </c>
      <c r="W68" t="b">
        <v>0</v>
      </c>
      <c r="X68" t="b">
        <v>0</v>
      </c>
      <c r="Y68" t="inlineStr">
        <is>
          <t>ACEGA</t>
        </is>
      </c>
      <c r="AI68" t="inlineStr">
        <is>
          <t>100% glutenfreie Bäckerei in Vigo, spezialisiert auf Brot und Empanadas.</t>
        </is>
      </c>
      <c r="AJ68" t="inlineStr">
        <is>
          <t>100% gluten-free bakery in Vigo specialized in bread and empanadas.</t>
        </is>
      </c>
      <c r="AK68" t="inlineStr">
        <is>
          <t>Obrador 100% sin gluten en Vigo especializado en pan y empanadas.</t>
        </is>
      </c>
      <c r="AM68" t="b">
        <v>1</v>
      </c>
      <c r="AN68" t="b">
        <v>0</v>
      </c>
      <c r="AT68" t="inlineStr">
        <is>
          <t>Disfrutando sin Gluten: 'Obrador de productos sin gluten especialistas en pan. Hacen empanadas y tienen envíos a toda la península'. ACEGA-zertifiziert. PRÜFEN.</t>
        </is>
      </c>
      <c r="AV68" t="inlineStr">
        <is>
          <t>regional_association</t>
        </is>
      </c>
      <c r="AW68" t="inlineStr">
        <is>
          <t>disfrutandosingluten.es + ACEGA (Stand 03/2026)</t>
        </is>
      </c>
      <c r="AX68" t="inlineStr">
        <is>
          <t>2026-04-25</t>
        </is>
      </c>
      <c r="AY68" t="inlineStr">
        <is>
          <t>2026-04-25</t>
        </is>
      </c>
    </row>
    <row r="69" ht="80.09999999999999" customHeight="1">
      <c r="A69" t="inlineStr">
        <is>
          <t>es_ga_004</t>
        </is>
      </c>
      <c r="B69" t="inlineStr">
        <is>
          <t>D'Sonia Bakery</t>
        </is>
      </c>
      <c r="C69" t="inlineStr">
        <is>
          <t>dsonia-bakery-vigo</t>
        </is>
      </c>
      <c r="D69" t="inlineStr">
        <is>
          <t>ES</t>
        </is>
      </c>
      <c r="E69" t="inlineStr">
        <is>
          <t>ES-GA</t>
        </is>
      </c>
      <c r="F69" t="inlineStr">
        <is>
          <t>Galicia</t>
        </is>
      </c>
      <c r="G69" t="inlineStr">
        <is>
          <t>Pontevedra</t>
        </is>
      </c>
      <c r="H69" t="inlineStr">
        <is>
          <t>Vigo</t>
        </is>
      </c>
      <c r="L69" t="n">
        <v>42.198639</v>
      </c>
      <c r="M69" t="n">
        <v>-8.727956000000001</v>
      </c>
      <c r="P69" t="inlineStr">
        <is>
          <t>bakery</t>
        </is>
      </c>
      <c r="Q69" t="inlineStr">
        <is>
          <t>saludable</t>
        </is>
      </c>
      <c r="R69" t="inlineStr">
        <is>
          <t>€€</t>
        </is>
      </c>
      <c r="S69" t="inlineStr">
        <is>
          <t>breakfast, snacks</t>
        </is>
      </c>
      <c r="T69" t="inlineStr">
        <is>
          <t>pending_verification</t>
        </is>
      </c>
      <c r="W69" t="b">
        <v>0</v>
      </c>
      <c r="X69" t="b">
        <v>0</v>
      </c>
      <c r="Y69" t="inlineStr">
        <is>
          <t>ACEGA</t>
        </is>
      </c>
      <c r="AI69" t="inlineStr">
        <is>
          <t>Kleine 100% glutenfreie Bäckerei mit Spezialisierung auf Brot in Vigo.</t>
        </is>
      </c>
      <c r="AJ69" t="inlineStr">
        <is>
          <t>Small 100% gluten-free bakery specialized in bread, in Vigo.</t>
        </is>
      </c>
      <c r="AK69" t="inlineStr">
        <is>
          <t>Pequeño obrador 100% sin gluten especializado en pan en Vigo.</t>
        </is>
      </c>
      <c r="AM69" t="b">
        <v>1</v>
      </c>
      <c r="AN69" t="b">
        <v>0</v>
      </c>
      <c r="AT69" t="inlineStr">
        <is>
          <t>Disfrutando sin Gluten: 'Pequeño obrador 100% sin gluten especializados en pan'. PRÜFEN: Adresse.</t>
        </is>
      </c>
      <c r="AV69" t="inlineStr">
        <is>
          <t>blog_research</t>
        </is>
      </c>
      <c r="AW69" t="inlineStr">
        <is>
          <t>disfrutandosingluten.es</t>
        </is>
      </c>
      <c r="AX69" t="inlineStr">
        <is>
          <t>2026-04-25</t>
        </is>
      </c>
      <c r="AY69" t="inlineStr">
        <is>
          <t>2026-04-25</t>
        </is>
      </c>
    </row>
    <row r="70" ht="80.09999999999999" customHeight="1">
      <c r="A70" t="inlineStr">
        <is>
          <t>es_ga_005</t>
        </is>
      </c>
      <c r="B70" t="inlineStr">
        <is>
          <t>Le Coq Santiago Gastro Café</t>
        </is>
      </c>
      <c r="C70" t="inlineStr">
        <is>
          <t>le-coq-santiago</t>
        </is>
      </c>
      <c r="D70" t="inlineStr">
        <is>
          <t>ES</t>
        </is>
      </c>
      <c r="E70" t="inlineStr">
        <is>
          <t>ES-GA</t>
        </is>
      </c>
      <c r="F70" t="inlineStr">
        <is>
          <t>Galicia</t>
        </is>
      </c>
      <c r="G70" t="inlineStr">
        <is>
          <t>A Coruña</t>
        </is>
      </c>
      <c r="H70" t="inlineStr">
        <is>
          <t>Santiago de Compostela</t>
        </is>
      </c>
      <c r="L70" t="n">
        <v>42.906458</v>
      </c>
      <c r="M70" t="n">
        <v>-8.519297999999999</v>
      </c>
      <c r="P70" t="inlineStr">
        <is>
          <t>restaurant</t>
        </is>
      </c>
      <c r="Q70" t="inlineStr">
        <is>
          <t>internacional, hamburguesas</t>
        </is>
      </c>
      <c r="R70" t="inlineStr">
        <is>
          <t>€€</t>
        </is>
      </c>
      <c r="S70" t="inlineStr">
        <is>
          <t>lunch, dinner</t>
        </is>
      </c>
      <c r="T70" t="inlineStr">
        <is>
          <t>pending_verification</t>
        </is>
      </c>
      <c r="W70" t="b">
        <v>0</v>
      </c>
      <c r="X70" t="b">
        <v>0</v>
      </c>
      <c r="Y70" t="inlineStr">
        <is>
          <t>ACEGA</t>
        </is>
      </c>
      <c r="AM70" t="b">
        <v>1</v>
      </c>
      <c r="AN70" t="b">
        <v>0</v>
      </c>
      <c r="AT70" t="inlineStr">
        <is>
          <t>El Correo Gallego: 'carta exclusiva para celíacos. ideal para amantes del pollo'. Celinews: 'Restaurante con una carta independiente 100% sin gluten especializado en pollo'. UNKLAR: ist es Mischbetrieb mit 100%-GF-Karte oder komplettes 100%-GF-Lokal? KLÄRUNGSBEDARF.</t>
        </is>
      </c>
      <c r="AV70" t="inlineStr">
        <is>
          <t>blog_research</t>
        </is>
      </c>
      <c r="AW70" t="inlineStr">
        <is>
          <t>elcorreogallego.es + celinews.com — Status 100% UNKLAR</t>
        </is>
      </c>
      <c r="AX70" t="inlineStr">
        <is>
          <t>2026-04-25</t>
        </is>
      </c>
      <c r="AY70" t="inlineStr">
        <is>
          <t>2026-04-25</t>
        </is>
      </c>
    </row>
    <row r="71" ht="80.09999999999999" customHeight="1">
      <c r="A71" t="inlineStr">
        <is>
          <t>es_ga_006</t>
        </is>
      </c>
      <c r="B71" t="inlineStr">
        <is>
          <t>Cafetería Chusca</t>
        </is>
      </c>
      <c r="C71" t="inlineStr">
        <is>
          <t>cafeteria-chusca-santiago</t>
        </is>
      </c>
      <c r="D71" t="inlineStr">
        <is>
          <t>ES</t>
        </is>
      </c>
      <c r="E71" t="inlineStr">
        <is>
          <t>ES-GA</t>
        </is>
      </c>
      <c r="F71" t="inlineStr">
        <is>
          <t>Galicia</t>
        </is>
      </c>
      <c r="G71" t="inlineStr">
        <is>
          <t>A Coruña</t>
        </is>
      </c>
      <c r="H71" t="inlineStr">
        <is>
          <t>Santiago de Compostela</t>
        </is>
      </c>
      <c r="L71" t="n">
        <v>42.906458</v>
      </c>
      <c r="M71" t="n">
        <v>-8.519297999999999</v>
      </c>
      <c r="P71" t="inlineStr">
        <is>
          <t>cafe</t>
        </is>
      </c>
      <c r="Q71" t="inlineStr">
        <is>
          <t>saludable, vegana</t>
        </is>
      </c>
      <c r="R71" t="inlineStr">
        <is>
          <t>€€</t>
        </is>
      </c>
      <c r="S71" t="inlineStr">
        <is>
          <t>breakfast, brunch, snacks</t>
        </is>
      </c>
      <c r="T71" t="inlineStr">
        <is>
          <t>pending_verification</t>
        </is>
      </c>
      <c r="W71" t="b">
        <v>0</v>
      </c>
      <c r="X71" t="b">
        <v>0</v>
      </c>
      <c r="AM71" t="b">
        <v>1</v>
      </c>
      <c r="AN71" t="b">
        <v>0</v>
      </c>
      <c r="AT71" t="inlineStr">
        <is>
          <t>El Correo Gallego: 'Cafetería con dulces y salados caseros... opciones veganas, vegetarianas, aptas para intolerantes a la lactosa y para celíacos'. UNKLAR ob 100% GF. KLÄRUNGSBEDARF.</t>
        </is>
      </c>
      <c r="AV71" t="inlineStr">
        <is>
          <t>blog_research</t>
        </is>
      </c>
      <c r="AW71" t="inlineStr">
        <is>
          <t>elcorreogallego.es — Status 100% UNKLAR</t>
        </is>
      </c>
      <c r="AX71" t="inlineStr">
        <is>
          <t>2026-04-25</t>
        </is>
      </c>
      <c r="AY71" t="inlineStr">
        <is>
          <t>2026-04-25</t>
        </is>
      </c>
    </row>
    <row r="72" ht="80.09999999999999" customHeight="1">
      <c r="A72" t="inlineStr">
        <is>
          <t>es_ga_007</t>
        </is>
      </c>
      <c r="B72" t="inlineStr">
        <is>
          <t>Bico de Xeado (Heladería)</t>
        </is>
      </c>
      <c r="C72" t="inlineStr">
        <is>
          <t>bico-de-xeado-galicia</t>
        </is>
      </c>
      <c r="D72" t="inlineStr">
        <is>
          <t>ES</t>
        </is>
      </c>
      <c r="E72" t="inlineStr">
        <is>
          <t>ES-GA</t>
        </is>
      </c>
      <c r="F72" t="inlineStr">
        <is>
          <t>Galicia</t>
        </is>
      </c>
      <c r="G72" t="inlineStr">
        <is>
          <t>Pontevedra</t>
        </is>
      </c>
      <c r="H72" t="inlineStr">
        <is>
          <t>Vigo</t>
        </is>
      </c>
      <c r="L72" t="n">
        <v>42.198639</v>
      </c>
      <c r="M72" t="n">
        <v>-8.727956000000001</v>
      </c>
      <c r="P72" t="inlineStr">
        <is>
          <t>ice_cream</t>
        </is>
      </c>
      <c r="Q72" t="inlineStr">
        <is>
          <t>saludable</t>
        </is>
      </c>
      <c r="R72" t="inlineStr">
        <is>
          <t>€</t>
        </is>
      </c>
      <c r="S72" t="inlineStr">
        <is>
          <t>snacks</t>
        </is>
      </c>
      <c r="T72" t="inlineStr">
        <is>
          <t>pending_verification</t>
        </is>
      </c>
      <c r="W72" t="b">
        <v>1</v>
      </c>
      <c r="X72" t="b">
        <v>0</v>
      </c>
      <c r="Y72" t="inlineStr">
        <is>
          <t>FACE, ACEGA</t>
        </is>
      </c>
      <c r="AM72" t="b">
        <v>1</v>
      </c>
      <c r="AN72" t="b">
        <v>0</v>
      </c>
      <c r="AT72" t="inlineStr">
        <is>
          <t>Disfrutando sin Gluten: 'Famosa cadena de heladerías artesanas de origen gallego avaladas por FACE'. UNKLAR ob 100% GF — bei Eis-Ketten oft Mischbetrieb. KLÄRUNGSBEDARF: welche Filiale, ist die ganze Heladería 100% GF?</t>
        </is>
      </c>
      <c r="AV72" t="inlineStr">
        <is>
          <t>blog_research</t>
        </is>
      </c>
      <c r="AW72" t="inlineStr">
        <is>
          <t>disfrutandosingluten.es — Status 100% UNKLAR (Kette)</t>
        </is>
      </c>
      <c r="AX72" t="inlineStr">
        <is>
          <t>2026-04-25</t>
        </is>
      </c>
      <c r="AY72" t="inlineStr">
        <is>
          <t>2026-04-25</t>
        </is>
      </c>
    </row>
    <row r="73" ht="80.09999999999999" customHeight="1">
      <c r="A73" t="inlineStr">
        <is>
          <t>es_as_001</t>
        </is>
      </c>
      <c r="B73" t="inlineStr">
        <is>
          <t>El Fartuquín</t>
        </is>
      </c>
      <c r="C73" t="inlineStr">
        <is>
          <t>el-fartuquin-oviedo</t>
        </is>
      </c>
      <c r="D73" t="inlineStr">
        <is>
          <t>ES</t>
        </is>
      </c>
      <c r="E73" t="inlineStr">
        <is>
          <t>ES-AS</t>
        </is>
      </c>
      <c r="F73" t="inlineStr">
        <is>
          <t>Principado de Asturias</t>
        </is>
      </c>
      <c r="G73" t="inlineStr">
        <is>
          <t>Asturias</t>
        </is>
      </c>
      <c r="H73" t="inlineStr">
        <is>
          <t>Oviedo</t>
        </is>
      </c>
      <c r="I73" t="inlineStr">
        <is>
          <t>Centro Histórico</t>
        </is>
      </c>
      <c r="J73" t="inlineStr">
        <is>
          <t>33009</t>
        </is>
      </c>
      <c r="K73" t="inlineStr">
        <is>
          <t>C. Carpio, 19</t>
        </is>
      </c>
      <c r="L73" t="n">
        <v>43.359764</v>
      </c>
      <c r="M73" t="n">
        <v>-5.843641</v>
      </c>
      <c r="P73" t="inlineStr">
        <is>
          <t>restaurant</t>
        </is>
      </c>
      <c r="Q73" t="inlineStr">
        <is>
          <t>asturiana, espanola, sidreria</t>
        </is>
      </c>
      <c r="R73" t="inlineStr">
        <is>
          <t>€€</t>
        </is>
      </c>
      <c r="S73" t="inlineStr">
        <is>
          <t>lunch, dinner</t>
        </is>
      </c>
      <c r="T73" t="inlineStr">
        <is>
          <t>pending_verification</t>
        </is>
      </c>
      <c r="W73" t="b">
        <v>0</v>
      </c>
      <c r="X73" t="b">
        <v>0</v>
      </c>
      <c r="Y73" t="inlineStr">
        <is>
          <t>ACEPA, ACSG Madrid</t>
        </is>
      </c>
      <c r="Z73" t="inlineStr">
        <is>
          <t>+34985229971</t>
        </is>
      </c>
      <c r="AC73" t="inlineStr">
        <is>
          <t>https://www.restauranteelfartuquin.es</t>
        </is>
      </c>
      <c r="AE73" t="inlineStr">
        <is>
          <t>@el_fartuquin</t>
        </is>
      </c>
      <c r="AI73" t="inlineStr">
        <is>
          <t>100% glutenfreies Sidrería im historischen Zentrum von Oviedo. Traditionelle asturische Küche.</t>
        </is>
      </c>
      <c r="AJ73" t="inlineStr">
        <is>
          <t>100% gluten-free cider house in Oviedo's historic center. Traditional Asturian cuisine.</t>
        </is>
      </c>
      <c r="AK73" t="inlineStr">
        <is>
          <t>Sidrería 100% sin gluten en el centro histórico de Oviedo. Cocina asturiana tradicional.</t>
        </is>
      </c>
      <c r="AM73" t="b">
        <v>1</v>
      </c>
      <c r="AN73" t="b">
        <v>0</v>
      </c>
      <c r="AT73" t="inlineStr">
        <is>
          <t>ACSG-Verzeichnis 'Avalado 100%'. Mehrfach als bestes GF-Restaurant Spaniens (Celicidad-App). 100% GF Sidrería im Zentrum. ACEPA-zertifiziert. Cocina asturiana tradicional. PRÜFEN.</t>
        </is>
      </c>
      <c r="AV73" t="inlineStr">
        <is>
          <t>regional_association</t>
        </is>
      </c>
      <c r="AW73" t="inlineStr">
        <is>
          <t>celiacosmadrid.org + adpan.es + celiaquita.com (Stand 2024-2026)</t>
        </is>
      </c>
      <c r="AX73" t="inlineStr">
        <is>
          <t>2026-04-25</t>
        </is>
      </c>
      <c r="AY73" t="inlineStr">
        <is>
          <t>2026-04-25</t>
        </is>
      </c>
    </row>
    <row r="74" ht="80.09999999999999" customHeight="1">
      <c r="A74" t="inlineStr">
        <is>
          <t>es_as_002</t>
        </is>
      </c>
      <c r="B74" t="inlineStr">
        <is>
          <t>El Bucanero</t>
        </is>
      </c>
      <c r="C74" t="inlineStr">
        <is>
          <t>el-bucanero-oviedo</t>
        </is>
      </c>
      <c r="D74" t="inlineStr">
        <is>
          <t>ES</t>
        </is>
      </c>
      <c r="E74" t="inlineStr">
        <is>
          <t>ES-AS</t>
        </is>
      </c>
      <c r="F74" t="inlineStr">
        <is>
          <t>Principado de Asturias</t>
        </is>
      </c>
      <c r="G74" t="inlineStr">
        <is>
          <t>Asturias</t>
        </is>
      </c>
      <c r="H74" t="inlineStr">
        <is>
          <t>Oviedo</t>
        </is>
      </c>
      <c r="J74" t="inlineStr">
        <is>
          <t>33001</t>
        </is>
      </c>
      <c r="K74" t="inlineStr">
        <is>
          <t>C. Manuel García Conde 3</t>
        </is>
      </c>
      <c r="L74" t="n">
        <v>43.353345</v>
      </c>
      <c r="M74" t="n">
        <v>-5.87951</v>
      </c>
      <c r="P74" t="inlineStr">
        <is>
          <t>restaurant</t>
        </is>
      </c>
      <c r="Q74" t="inlineStr">
        <is>
          <t>internacional, asturiana, vegana</t>
        </is>
      </c>
      <c r="R74" t="inlineStr">
        <is>
          <t>€€€</t>
        </is>
      </c>
      <c r="S74" t="inlineStr">
        <is>
          <t>lunch, dinner</t>
        </is>
      </c>
      <c r="T74" t="inlineStr">
        <is>
          <t>pending_verification</t>
        </is>
      </c>
      <c r="W74" t="b">
        <v>0</v>
      </c>
      <c r="X74" t="b">
        <v>0</v>
      </c>
      <c r="Y74" t="inlineStr">
        <is>
          <t>ACEPA</t>
        </is>
      </c>
      <c r="Z74" t="inlineStr">
        <is>
          <t>+34985071028</t>
        </is>
      </c>
      <c r="AC74" t="inlineStr">
        <is>
          <t>https://elbucanero.es</t>
        </is>
      </c>
      <c r="AI74" t="inlineStr">
        <is>
          <t>100% glutenfreies Restaurant in Oviedo mit karibisch-asturischer Fusion. Auch vegane Optionen.</t>
        </is>
      </c>
      <c r="AJ74" t="inlineStr">
        <is>
          <t>100% gluten-free restaurant in Oviedo with Caribbean-Asturian fusion. Vegan options too.</t>
        </is>
      </c>
      <c r="AK74" t="inlineStr">
        <is>
          <t>Restaurante 100% sin gluten en Oviedo con cocina fusión mar Caribe-Asturias. También opciones veganas.</t>
        </is>
      </c>
      <c r="AM74" t="b">
        <v>1</v>
      </c>
      <c r="AN74" t="b">
        <v>0</v>
      </c>
      <c r="AT74" t="inlineStr">
        <is>
          <t>ACEPA-Liste. Disfrutando sin Gluten: 'Con una propuesta innovadora, 100% sin gluten y opciones veganas, la carta del Bucanero tiene los mejores platos fusión del mar Caribe y la cocina asturiana'. PRÜFEN.</t>
        </is>
      </c>
      <c r="AV74" t="inlineStr">
        <is>
          <t>regional_association</t>
        </is>
      </c>
      <c r="AW74" t="inlineStr">
        <is>
          <t>asociacionceliacosasturias.org + disfrutandosingluten.es</t>
        </is>
      </c>
      <c r="AX74" t="inlineStr">
        <is>
          <t>2026-04-25</t>
        </is>
      </c>
      <c r="AY74" t="inlineStr">
        <is>
          <t>2026-04-25</t>
        </is>
      </c>
    </row>
    <row r="75" ht="80.09999999999999" customHeight="1">
      <c r="A75" t="inlineStr">
        <is>
          <t>es_as_003</t>
        </is>
      </c>
      <c r="B75" t="inlineStr">
        <is>
          <t>Sidra Quelo</t>
        </is>
      </c>
      <c r="C75" t="inlineStr">
        <is>
          <t>sidra-quelo-oviedo</t>
        </is>
      </c>
      <c r="D75" t="inlineStr">
        <is>
          <t>ES</t>
        </is>
      </c>
      <c r="E75" t="inlineStr">
        <is>
          <t>ES-AS</t>
        </is>
      </c>
      <c r="F75" t="inlineStr">
        <is>
          <t>Principado de Asturias</t>
        </is>
      </c>
      <c r="G75" t="inlineStr">
        <is>
          <t>Asturias</t>
        </is>
      </c>
      <c r="H75" t="inlineStr">
        <is>
          <t>Oviedo</t>
        </is>
      </c>
      <c r="I75" t="inlineStr">
        <is>
          <t>Tiñana</t>
        </is>
      </c>
      <c r="J75" t="inlineStr">
        <is>
          <t>33199</t>
        </is>
      </c>
      <c r="K75" t="inlineStr">
        <is>
          <t>C/ Fueyo, 21</t>
        </is>
      </c>
      <c r="L75" t="n">
        <v>43.357637</v>
      </c>
      <c r="M75" t="n">
        <v>-5.835517</v>
      </c>
      <c r="P75" t="inlineStr">
        <is>
          <t>restaurant</t>
        </is>
      </c>
      <c r="Q75" t="inlineStr">
        <is>
          <t>asturiana, sidreria, espanola</t>
        </is>
      </c>
      <c r="R75" t="inlineStr">
        <is>
          <t>€€</t>
        </is>
      </c>
      <c r="S75" t="inlineStr">
        <is>
          <t>lunch, dinner</t>
        </is>
      </c>
      <c r="T75" t="inlineStr">
        <is>
          <t>pending_verification</t>
        </is>
      </c>
      <c r="W75" t="b">
        <v>0</v>
      </c>
      <c r="X75" t="b">
        <v>0</v>
      </c>
      <c r="Y75" t="inlineStr">
        <is>
          <t>ACEPA</t>
        </is>
      </c>
      <c r="Z75" t="inlineStr">
        <is>
          <t>+34985792932</t>
        </is>
      </c>
      <c r="AC75" t="inlineStr">
        <is>
          <t>https://sidraquelo.com</t>
        </is>
      </c>
      <c r="AI75" t="inlineStr">
        <is>
          <t>100% glutenfreies Sidrería bei Oviedo. Cachopo, Kroketten und traditionelle asturische Küche.</t>
        </is>
      </c>
      <c r="AJ75" t="inlineStr">
        <is>
          <t>100% gluten-free cider house near Oviedo. Cachopo, croquettes and traditional Asturian cuisine.</t>
        </is>
      </c>
      <c r="AK75" t="inlineStr">
        <is>
          <t>Sidrería 100% sin gluten cerca de Oviedo. Cachopo, croquetas y comida asturiana tradicional.</t>
        </is>
      </c>
      <c r="AM75" t="b">
        <v>1</v>
      </c>
      <c r="AN75" t="b">
        <v>0</v>
      </c>
      <c r="AT75" t="inlineStr">
        <is>
          <t>ACEPA-zertifiziert. Celinews: 'Restaurante 100% sin gluten con una gran variedad de carta (tienen cachopo y croquetas aptas para celíacos)'. PRÜFEN.</t>
        </is>
      </c>
      <c r="AV75" t="inlineStr">
        <is>
          <t>regional_association</t>
        </is>
      </c>
      <c r="AW75" t="inlineStr">
        <is>
          <t>asociacionceliacosasturias.org + celinews.com</t>
        </is>
      </c>
      <c r="AX75" t="inlineStr">
        <is>
          <t>2026-04-25</t>
        </is>
      </c>
      <c r="AY75" t="inlineStr">
        <is>
          <t>2026-04-25</t>
        </is>
      </c>
    </row>
    <row r="76" ht="80.09999999999999" customHeight="1">
      <c r="A76" t="inlineStr">
        <is>
          <t>es_as_004</t>
        </is>
      </c>
      <c r="B76" t="inlineStr">
        <is>
          <t>La Esquina del Peso</t>
        </is>
      </c>
      <c r="C76" t="inlineStr">
        <is>
          <t>esquina-del-peso-oviedo</t>
        </is>
      </c>
      <c r="D76" t="inlineStr">
        <is>
          <t>ES</t>
        </is>
      </c>
      <c r="E76" t="inlineStr">
        <is>
          <t>ES-AS</t>
        </is>
      </c>
      <c r="F76" t="inlineStr">
        <is>
          <t>Principado de Asturias</t>
        </is>
      </c>
      <c r="G76" t="inlineStr">
        <is>
          <t>Asturias</t>
        </is>
      </c>
      <c r="H76" t="inlineStr">
        <is>
          <t>Oviedo</t>
        </is>
      </c>
      <c r="I76" t="inlineStr">
        <is>
          <t>Centro</t>
        </is>
      </c>
      <c r="K76" t="inlineStr">
        <is>
          <t>junto al Ayuntamiento de Oviedo</t>
        </is>
      </c>
      <c r="L76" t="n">
        <v>43.353345</v>
      </c>
      <c r="M76" t="n">
        <v>-5.87951</v>
      </c>
      <c r="P76" t="inlineStr">
        <is>
          <t>cafe</t>
        </is>
      </c>
      <c r="Q76" t="inlineStr">
        <is>
          <t>saludable, espanola</t>
        </is>
      </c>
      <c r="R76" t="inlineStr">
        <is>
          <t>€€</t>
        </is>
      </c>
      <c r="S76" t="inlineStr">
        <is>
          <t>breakfast, lunch, dinner</t>
        </is>
      </c>
      <c r="T76" t="inlineStr">
        <is>
          <t>pending_verification</t>
        </is>
      </c>
      <c r="W76" t="b">
        <v>0</v>
      </c>
      <c r="X76" t="b">
        <v>0</v>
      </c>
      <c r="Y76" t="inlineStr">
        <is>
          <t>ACEPA</t>
        </is>
      </c>
      <c r="AI76" t="inlineStr">
        <is>
          <t>100% glutenfreies Café mit eigener Bäckerei La Amasería im Zentrum von Oviedo.</t>
        </is>
      </c>
      <c r="AJ76" t="inlineStr">
        <is>
          <t>100% gluten-free café with own bakery La Amasería in Oviedo's center.</t>
        </is>
      </c>
      <c r="AK76" t="inlineStr">
        <is>
          <t>Cafetería 100% sin gluten con obrador propio La Amasería en pleno centro de Oviedo.</t>
        </is>
      </c>
      <c r="AM76" t="b">
        <v>1</v>
      </c>
      <c r="AN76" t="b">
        <v>0</v>
      </c>
      <c r="AT76" t="inlineStr">
        <is>
          <t>Celicidad: 'Cocina libre de gluten y obrador también 100% sin gluten. La Esquina del Peso lo tiene todo: cuenta con servicio de cafetería y con los productos sin gluten del obrador La Amasería, 100% sin gluten'. PRÜFEN: exakte Adresse.</t>
        </is>
      </c>
      <c r="AV76" t="inlineStr">
        <is>
          <t>blog_research</t>
        </is>
      </c>
      <c r="AW76" t="inlineStr">
        <is>
          <t>celicidad.net (Stand 09/2025)</t>
        </is>
      </c>
      <c r="AX76" t="inlineStr">
        <is>
          <t>2026-04-25</t>
        </is>
      </c>
      <c r="AY76" t="inlineStr">
        <is>
          <t>2026-04-25</t>
        </is>
      </c>
    </row>
    <row r="77" ht="80.09999999999999" customHeight="1">
      <c r="A77" t="inlineStr">
        <is>
          <t>es_as_005</t>
        </is>
      </c>
      <c r="B77" t="inlineStr">
        <is>
          <t>El Palace Gijón</t>
        </is>
      </c>
      <c r="C77" t="inlineStr">
        <is>
          <t>el-palace-gijon</t>
        </is>
      </c>
      <c r="D77" t="inlineStr">
        <is>
          <t>ES</t>
        </is>
      </c>
      <c r="E77" t="inlineStr">
        <is>
          <t>ES-AS</t>
        </is>
      </c>
      <c r="F77" t="inlineStr">
        <is>
          <t>Principado de Asturias</t>
        </is>
      </c>
      <c r="G77" t="inlineStr">
        <is>
          <t>Asturias</t>
        </is>
      </c>
      <c r="H77" t="inlineStr">
        <is>
          <t>Gijón</t>
        </is>
      </c>
      <c r="K77" t="inlineStr">
        <is>
          <t>Plaza de la Serena</t>
        </is>
      </c>
      <c r="L77" t="n">
        <v>43.530154</v>
      </c>
      <c r="M77" t="n">
        <v>-5.664572</v>
      </c>
      <c r="P77" t="inlineStr">
        <is>
          <t>restaurant</t>
        </is>
      </c>
      <c r="Q77" t="inlineStr">
        <is>
          <t>asturiana, espanola</t>
        </is>
      </c>
      <c r="R77" t="inlineStr">
        <is>
          <t>€€€</t>
        </is>
      </c>
      <c r="S77" t="inlineStr">
        <is>
          <t>lunch, dinner</t>
        </is>
      </c>
      <c r="T77" t="inlineStr">
        <is>
          <t>pending_verification</t>
        </is>
      </c>
      <c r="W77" t="b">
        <v>0</v>
      </c>
      <c r="X77" t="b">
        <v>0</v>
      </c>
      <c r="Y77" t="inlineStr">
        <is>
          <t>ACEPA</t>
        </is>
      </c>
      <c r="AI77" t="inlineStr">
        <is>
          <t>100% glutenfreies Restaurant in Gijón, traditionelle asturische Küche mit modernen Akzenten.</t>
        </is>
      </c>
      <c r="AJ77" t="inlineStr">
        <is>
          <t>100% gluten-free restaurant in Gijón, traditional Asturian cuisine with modern twists.</t>
        </is>
      </c>
      <c r="AK77" t="inlineStr">
        <is>
          <t>Restaurante 100% sin gluten en Gijón, cocina asturiana tradicional con toques nuevos.</t>
        </is>
      </c>
      <c r="AM77" t="b">
        <v>1</v>
      </c>
      <c r="AN77" t="b">
        <v>0</v>
      </c>
      <c r="AT77" t="inlineStr">
        <is>
          <t>Celicidad: 'Con una carta 100% sin gluten, el Palace se ha convertido en un imprescindible si visitas Gijón'. PRÜFEN: Adresse.</t>
        </is>
      </c>
      <c r="AV77" t="inlineStr">
        <is>
          <t>blog_research</t>
        </is>
      </c>
      <c r="AW77" t="inlineStr">
        <is>
          <t>celicidad.net (Stand 09/2025)</t>
        </is>
      </c>
      <c r="AX77" t="inlineStr">
        <is>
          <t>2026-04-25</t>
        </is>
      </c>
      <c r="AY77" t="inlineStr">
        <is>
          <t>2026-04-25</t>
        </is>
      </c>
    </row>
    <row r="78" ht="80.09999999999999" customHeight="1">
      <c r="A78" t="inlineStr">
        <is>
          <t>es_as_006</t>
        </is>
      </c>
      <c r="B78" t="inlineStr">
        <is>
          <t>Casa Niembro</t>
        </is>
      </c>
      <c r="C78" t="inlineStr">
        <is>
          <t>casa-niembro-asiegu</t>
        </is>
      </c>
      <c r="D78" t="inlineStr">
        <is>
          <t>ES</t>
        </is>
      </c>
      <c r="E78" t="inlineStr">
        <is>
          <t>ES-AS</t>
        </is>
      </c>
      <c r="F78" t="inlineStr">
        <is>
          <t>Principado de Asturias</t>
        </is>
      </c>
      <c r="G78" t="inlineStr">
        <is>
          <t>Asturias</t>
        </is>
      </c>
      <c r="H78" t="inlineStr">
        <is>
          <t>Asiegu</t>
        </is>
      </c>
      <c r="I78" t="inlineStr">
        <is>
          <t>Cabrales</t>
        </is>
      </c>
      <c r="K78" t="inlineStr">
        <is>
          <t>Asiegu, Cabrales</t>
        </is>
      </c>
      <c r="L78" t="n">
        <v>43.323991</v>
      </c>
      <c r="M78" t="n">
        <v>-4.858951</v>
      </c>
      <c r="P78" t="inlineStr">
        <is>
          <t>restaurant</t>
        </is>
      </c>
      <c r="Q78" t="inlineStr">
        <is>
          <t>asturiana, sidreria, espanola</t>
        </is>
      </c>
      <c r="R78" t="inlineStr">
        <is>
          <t>€€</t>
        </is>
      </c>
      <c r="S78" t="inlineStr">
        <is>
          <t>lunch, dinner</t>
        </is>
      </c>
      <c r="T78" t="inlineStr">
        <is>
          <t>pending_verification</t>
        </is>
      </c>
      <c r="W78" t="b">
        <v>0</v>
      </c>
      <c r="X78" t="b">
        <v>0</v>
      </c>
      <c r="Y78" t="inlineStr">
        <is>
          <t>ACEPA</t>
        </is>
      </c>
      <c r="AI78" t="inlineStr">
        <is>
          <t>100% glutenfreies Sidrería in Cabrales mit Blick auf den Urriellu. Preisgekrönte traditionelle asturische Küche.</t>
        </is>
      </c>
      <c r="AJ78" t="inlineStr">
        <is>
          <t>100% gluten-free cider house in Cabrales with Urriellu views. Award-winning traditional Asturian cuisine.</t>
        </is>
      </c>
      <c r="AK78" t="inlineStr">
        <is>
          <t>Sidrería 100% sin gluten en Cabrales con vistas al Urriellu. Cocina asturiana tradicional premiada.</t>
        </is>
      </c>
      <c r="AM78" t="b">
        <v>1</v>
      </c>
      <c r="AN78" t="b">
        <v>0</v>
      </c>
      <c r="AT78" t="inlineStr">
        <is>
          <t>Celicidad-Referenz: 'Casa Niembro es una referencia en Asturias y en España. Carta 100% sin gluten... cordero xaldu a la sidra, cachopo a la plancha, tortos de maíz'. Im Naturpark Picos de Europa, Blick auf Urriellu. Auch Food Truck 'La Pavoneta'. PRÜFEN.</t>
        </is>
      </c>
      <c r="AV78" t="inlineStr">
        <is>
          <t>blog_research</t>
        </is>
      </c>
      <c r="AW78" t="inlineStr">
        <is>
          <t>celicidad.net + adpan.es (Stand 2024-2025)</t>
        </is>
      </c>
      <c r="AX78" t="inlineStr">
        <is>
          <t>2026-04-25</t>
        </is>
      </c>
      <c r="AY78" t="inlineStr">
        <is>
          <t>2026-04-25</t>
        </is>
      </c>
    </row>
    <row r="79" ht="80.09999999999999" customHeight="1">
      <c r="A79" t="inlineStr">
        <is>
          <t>es_as_007</t>
        </is>
      </c>
      <c r="B79" t="inlineStr">
        <is>
          <t>Bar Moreno</t>
        </is>
      </c>
      <c r="C79" t="inlineStr">
        <is>
          <t>bar-moreno-cangas-narcea</t>
        </is>
      </c>
      <c r="D79" t="inlineStr">
        <is>
          <t>ES</t>
        </is>
      </c>
      <c r="E79" t="inlineStr">
        <is>
          <t>ES-AS</t>
        </is>
      </c>
      <c r="F79" t="inlineStr">
        <is>
          <t>Principado de Asturias</t>
        </is>
      </c>
      <c r="G79" t="inlineStr">
        <is>
          <t>Asturias</t>
        </is>
      </c>
      <c r="H79" t="inlineStr">
        <is>
          <t>Cangas del Narcea</t>
        </is>
      </c>
      <c r="L79" t="n">
        <v>43.116135</v>
      </c>
      <c r="M79" t="n">
        <v>-6.56466</v>
      </c>
      <c r="P79" t="inlineStr">
        <is>
          <t>bar_tapas</t>
        </is>
      </c>
      <c r="Q79" t="inlineStr">
        <is>
          <t>asturiana, tapas, espanola</t>
        </is>
      </c>
      <c r="R79" t="inlineStr">
        <is>
          <t>€€</t>
        </is>
      </c>
      <c r="S79" t="inlineStr">
        <is>
          <t>lunch, dinner, snacks</t>
        </is>
      </c>
      <c r="T79" t="inlineStr">
        <is>
          <t>pending_verification</t>
        </is>
      </c>
      <c r="W79" t="b">
        <v>0</v>
      </c>
      <c r="X79" t="b">
        <v>0</v>
      </c>
      <c r="Y79" t="inlineStr">
        <is>
          <t>ACEPA</t>
        </is>
      </c>
      <c r="AM79" t="b">
        <v>1</v>
      </c>
      <c r="AN79" t="b">
        <v>0</v>
      </c>
      <c r="AT79" t="inlineStr">
        <is>
          <t>Celicidad: 'En el Bar Moreno ofrecen una variada carta libre de gluten... Un imprescindible de Cangas del Narcea, tanto si tienes celiaquía como si no'. UNKLAR ob 100% GF — Klärungsbedarf. Veranstaltet 'Cangas Sin Gluten' Festival.</t>
        </is>
      </c>
      <c r="AV79" t="inlineStr">
        <is>
          <t>blog_research</t>
        </is>
      </c>
      <c r="AW79" t="inlineStr">
        <is>
          <t>celicidad.net — Status 100% UNKLAR</t>
        </is>
      </c>
      <c r="AX79" t="inlineStr">
        <is>
          <t>2026-04-25</t>
        </is>
      </c>
      <c r="AY79" t="inlineStr">
        <is>
          <t>2026-04-25</t>
        </is>
      </c>
    </row>
    <row r="80" ht="80.09999999999999" customHeight="1">
      <c r="A80" t="inlineStr">
        <is>
          <t>es_as_008</t>
        </is>
      </c>
      <c r="B80" t="inlineStr">
        <is>
          <t>El Candil</t>
        </is>
      </c>
      <c r="C80" t="inlineStr">
        <is>
          <t>el-candil-asturias</t>
        </is>
      </c>
      <c r="D80" t="inlineStr">
        <is>
          <t>ES</t>
        </is>
      </c>
      <c r="E80" t="inlineStr">
        <is>
          <t>ES-AS</t>
        </is>
      </c>
      <c r="F80" t="inlineStr">
        <is>
          <t>Principado de Asturias</t>
        </is>
      </c>
      <c r="G80" t="inlineStr">
        <is>
          <t>Asturias</t>
        </is>
      </c>
      <c r="H80" t="inlineStr">
        <is>
          <t>Asturias</t>
        </is>
      </c>
      <c r="L80" t="n">
        <v>43.313387</v>
      </c>
      <c r="M80" t="n">
        <v>-5.94192</v>
      </c>
      <c r="P80" t="inlineStr">
        <is>
          <t>restaurant</t>
        </is>
      </c>
      <c r="Q80" t="inlineStr">
        <is>
          <t>asturiana, espanola</t>
        </is>
      </c>
      <c r="R80" t="inlineStr">
        <is>
          <t>€€</t>
        </is>
      </c>
      <c r="S80" t="inlineStr">
        <is>
          <t>lunch, dinner</t>
        </is>
      </c>
      <c r="T80" t="inlineStr">
        <is>
          <t>pending_verification</t>
        </is>
      </c>
      <c r="W80" t="b">
        <v>0</v>
      </c>
      <c r="X80" t="b">
        <v>0</v>
      </c>
      <c r="Y80" t="inlineStr">
        <is>
          <t>ACEPA</t>
        </is>
      </c>
      <c r="AI80" t="inlineStr">
        <is>
          <t>100% glutenfreies Restaurant mit traditioneller asturischer Küche in Asturien.</t>
        </is>
      </c>
      <c r="AJ80" t="inlineStr">
        <is>
          <t>100% gluten-free restaurant with traditional Asturian cuisine in Asturias.</t>
        </is>
      </c>
      <c r="AK80" t="inlineStr">
        <is>
          <t>Restaurante 100% sin gluten con cocina tradicional asturiana en Asturias.</t>
        </is>
      </c>
      <c r="AM80" t="b">
        <v>1</v>
      </c>
      <c r="AN80" t="b">
        <v>0</v>
      </c>
      <c r="AT80" t="inlineStr">
        <is>
          <t>Celicidad: 'Un establecimiento 100% sin gluten en una de las zonas más turísticas del Principado. El Candil apuesta por una cocina tradicional, sabrosa, cuidada y abundante'. PRÜFEN: Adresse, Stadt.</t>
        </is>
      </c>
      <c r="AV80" t="inlineStr">
        <is>
          <t>blog_research</t>
        </is>
      </c>
      <c r="AW80" t="inlineStr">
        <is>
          <t>celicidad.net (Stand 09/2025) — Adresse fehlt</t>
        </is>
      </c>
      <c r="AX80" t="inlineStr">
        <is>
          <t>2026-04-25</t>
        </is>
      </c>
      <c r="AY80" t="inlineStr">
        <is>
          <t>2026-04-25</t>
        </is>
      </c>
    </row>
    <row r="81" ht="80.09999999999999" customHeight="1">
      <c r="A81" t="inlineStr">
        <is>
          <t>es_as_009</t>
        </is>
      </c>
      <c r="B81" t="inlineStr">
        <is>
          <t>Llagar El Quesu</t>
        </is>
      </c>
      <c r="C81" t="inlineStr">
        <is>
          <t>llagar-el-quesu-bobes</t>
        </is>
      </c>
      <c r="D81" t="inlineStr">
        <is>
          <t>ES</t>
        </is>
      </c>
      <c r="E81" t="inlineStr">
        <is>
          <t>ES-AS</t>
        </is>
      </c>
      <c r="F81" t="inlineStr">
        <is>
          <t>Principado de Asturias</t>
        </is>
      </c>
      <c r="G81" t="inlineStr">
        <is>
          <t>Asturias</t>
        </is>
      </c>
      <c r="H81" t="inlineStr">
        <is>
          <t>Bobes</t>
        </is>
      </c>
      <c r="I81" t="inlineStr">
        <is>
          <t>Siero</t>
        </is>
      </c>
      <c r="J81" t="inlineStr">
        <is>
          <t>33429</t>
        </is>
      </c>
      <c r="K81" t="inlineStr">
        <is>
          <t>Carretera AS-17 km 26</t>
        </is>
      </c>
      <c r="L81" t="n">
        <v>43.394542</v>
      </c>
      <c r="M81" t="n">
        <v>-5.765979</v>
      </c>
      <c r="P81" t="inlineStr">
        <is>
          <t>restaurant</t>
        </is>
      </c>
      <c r="Q81" t="inlineStr">
        <is>
          <t>asturiana, sidreria, espanola</t>
        </is>
      </c>
      <c r="R81" t="inlineStr">
        <is>
          <t>€€</t>
        </is>
      </c>
      <c r="S81" t="inlineStr">
        <is>
          <t>lunch, dinner</t>
        </is>
      </c>
      <c r="T81" t="inlineStr">
        <is>
          <t>pending_verification</t>
        </is>
      </c>
      <c r="W81" t="b">
        <v>0</v>
      </c>
      <c r="X81" t="b">
        <v>0</v>
      </c>
      <c r="Y81" t="inlineStr">
        <is>
          <t>ACEPA</t>
        </is>
      </c>
      <c r="Z81" t="inlineStr">
        <is>
          <t>+34985985304</t>
        </is>
      </c>
      <c r="AI81" t="inlineStr">
        <is>
          <t>100% glutenfreies Llagar, ACEPA-zertifiziert, in Bobes (Siero). Grill-Spezialisten.</t>
        </is>
      </c>
      <c r="AJ81" t="inlineStr">
        <is>
          <t>100% gluten-free cider house, ACEPA-certified, in Bobes (Siero). Grill specialists.</t>
        </is>
      </c>
      <c r="AK81" t="inlineStr">
        <is>
          <t>Llagar 100% sin gluten certificado por ACEPA en Bobes, Siero. Especialistas en parrilla.</t>
        </is>
      </c>
      <c r="AM81" t="b">
        <v>1</v>
      </c>
      <c r="AN81" t="b">
        <v>0</v>
      </c>
      <c r="AT81" t="inlineStr">
        <is>
          <t>ADPAN: 'Restaurante 100% libre de gluten certificado por ACEPA en Bobes, Llagar El Quesu... casi 100 años de historia'. ACEPA-Liste bestätigt. PRÜFEN.</t>
        </is>
      </c>
      <c r="AV81" t="inlineStr">
        <is>
          <t>regional_association</t>
        </is>
      </c>
      <c r="AW81" t="inlineStr">
        <is>
          <t>asociacionceliacosasturias.org + adpan.es</t>
        </is>
      </c>
      <c r="AX81" t="inlineStr">
        <is>
          <t>2026-04-25</t>
        </is>
      </c>
      <c r="AY81" t="inlineStr">
        <is>
          <t>2026-04-25</t>
        </is>
      </c>
    </row>
    <row r="82" ht="80.09999999999999" customHeight="1">
      <c r="A82" t="inlineStr">
        <is>
          <t>es_as_010</t>
        </is>
      </c>
      <c r="B82" t="inlineStr">
        <is>
          <t>Restaurante Las Palmeras (San Claudio)</t>
        </is>
      </c>
      <c r="C82" t="inlineStr">
        <is>
          <t>las-palmeras-san-claudio</t>
        </is>
      </c>
      <c r="D82" t="inlineStr">
        <is>
          <t>ES</t>
        </is>
      </c>
      <c r="E82" t="inlineStr">
        <is>
          <t>ES-AS</t>
        </is>
      </c>
      <c r="F82" t="inlineStr">
        <is>
          <t>Principado de Asturias</t>
        </is>
      </c>
      <c r="G82" t="inlineStr">
        <is>
          <t>Asturias</t>
        </is>
      </c>
      <c r="H82" t="inlineStr">
        <is>
          <t>San Claudio (Oviedo)</t>
        </is>
      </c>
      <c r="L82" t="n">
        <v>43.355316</v>
      </c>
      <c r="M82" t="n">
        <v>-5.917795</v>
      </c>
      <c r="P82" t="inlineStr">
        <is>
          <t>restaurant</t>
        </is>
      </c>
      <c r="Q82" t="inlineStr">
        <is>
          <t>asturiana, espanola</t>
        </is>
      </c>
      <c r="R82" t="inlineStr">
        <is>
          <t>€€</t>
        </is>
      </c>
      <c r="S82" t="inlineStr">
        <is>
          <t>lunch, dinner</t>
        </is>
      </c>
      <c r="T82" t="inlineStr">
        <is>
          <t>pending_verification</t>
        </is>
      </c>
      <c r="W82" t="b">
        <v>1</v>
      </c>
      <c r="X82" t="b">
        <v>0</v>
      </c>
      <c r="Y82" t="inlineStr">
        <is>
          <t>FACE, ACEPA</t>
        </is>
      </c>
      <c r="AI82" t="inlineStr">
        <is>
          <t>100% glutenfreies Restaurant nahe Oviedo. ACEPA- und FACE-zertifiziert. Terrasse und Kinderbereich.</t>
        </is>
      </c>
      <c r="AJ82" t="inlineStr">
        <is>
          <t>100% gluten-free restaurant near Oviedo. ACEPA and FACE certified. Terrace and kids' area.</t>
        </is>
      </c>
      <c r="AK82" t="inlineStr">
        <is>
          <t>Restaurante 100% sin gluten cerca de Oviedo. ACEPA y FACE certificados. Terraza y zona infantil.</t>
        </is>
      </c>
      <c r="AM82" t="b">
        <v>1</v>
      </c>
      <c r="AN82" t="b">
        <v>0</v>
      </c>
      <c r="AT82" t="inlineStr">
        <is>
          <t>Celiaquita: 'Certificados por ACEPA y FACE, aquí encontrarás cocina tradicional asturiana 100% sin gluten en San Claudio... el menú es 100% sin gluten'. Mit Terrasse + Kinderbereich. PRÜFEN: Adresse, Telefon.</t>
        </is>
      </c>
      <c r="AV82" t="inlineStr">
        <is>
          <t>regional_association</t>
        </is>
      </c>
      <c r="AW82" t="inlineStr">
        <is>
          <t>celiaquita.com (Stand 07/2024)</t>
        </is>
      </c>
      <c r="AX82" t="inlineStr">
        <is>
          <t>2026-04-25</t>
        </is>
      </c>
      <c r="AY82" t="inlineStr">
        <is>
          <t>2026-04-25</t>
        </is>
      </c>
    </row>
    <row r="83" ht="80.09999999999999" customHeight="1">
      <c r="A83" t="inlineStr">
        <is>
          <t>es_as_011</t>
        </is>
      </c>
      <c r="B83" t="inlineStr">
        <is>
          <t>Vernasingluten Villanueva</t>
        </is>
      </c>
      <c r="C83" t="inlineStr">
        <is>
          <t>vernasingluten-villanueva</t>
        </is>
      </c>
      <c r="D83" t="inlineStr">
        <is>
          <t>ES</t>
        </is>
      </c>
      <c r="E83" t="inlineStr">
        <is>
          <t>ES-AS</t>
        </is>
      </c>
      <c r="F83" t="inlineStr">
        <is>
          <t>Principado de Asturias</t>
        </is>
      </c>
      <c r="G83" t="inlineStr">
        <is>
          <t>Asturias</t>
        </is>
      </c>
      <c r="H83" t="inlineStr">
        <is>
          <t>Villanueva</t>
        </is>
      </c>
      <c r="J83" t="inlineStr">
        <is>
          <t>33115</t>
        </is>
      </c>
      <c r="K83" t="inlineStr">
        <is>
          <t>Villa tecnológica El Sabil, Crta AS-228 Km-12</t>
        </is>
      </c>
      <c r="L83" t="n">
        <v>43.526318</v>
      </c>
      <c r="M83" t="n">
        <v>-6.70487</v>
      </c>
      <c r="P83" t="inlineStr">
        <is>
          <t>restaurant</t>
        </is>
      </c>
      <c r="Q83" t="inlineStr">
        <is>
          <t>asturiana, espanola</t>
        </is>
      </c>
      <c r="R83" t="inlineStr">
        <is>
          <t>€€</t>
        </is>
      </c>
      <c r="S83" t="inlineStr">
        <is>
          <t>lunch, dinner</t>
        </is>
      </c>
      <c r="T83" t="inlineStr">
        <is>
          <t>pending_verification</t>
        </is>
      </c>
      <c r="W83" t="b">
        <v>0</v>
      </c>
      <c r="X83" t="b">
        <v>0</v>
      </c>
      <c r="Y83" t="inlineStr">
        <is>
          <t>ACEPA</t>
        </is>
      </c>
      <c r="Z83" t="inlineStr">
        <is>
          <t>+34647857638</t>
        </is>
      </c>
      <c r="AC83" t="inlineStr">
        <is>
          <t>https://vernasingluten.es</t>
        </is>
      </c>
      <c r="AI83" t="inlineStr">
        <is>
          <t>Glutenfreies Restaurant in Villanueva, Asturien.</t>
        </is>
      </c>
      <c r="AJ83" t="inlineStr">
        <is>
          <t>Gluten-free restaurant in Villanueva, Asturias.</t>
        </is>
      </c>
      <c r="AK83" t="inlineStr">
        <is>
          <t>Restaurante sin gluten en Villanueva, Asturias.</t>
        </is>
      </c>
      <c r="AM83" t="b">
        <v>1</v>
      </c>
      <c r="AN83" t="b">
        <v>0</v>
      </c>
      <c r="AT83" t="inlineStr">
        <is>
          <t>ACEPA-Liste. Domain-Name 'vernasingluten.es' deutet auf 100% GF. PRÜFEN.</t>
        </is>
      </c>
      <c r="AV83" t="inlineStr">
        <is>
          <t>regional_association</t>
        </is>
      </c>
      <c r="AW83" t="inlineStr">
        <is>
          <t>asociacionceliacosasturias.org</t>
        </is>
      </c>
      <c r="AX83" t="inlineStr">
        <is>
          <t>2026-04-25</t>
        </is>
      </c>
      <c r="AY83" t="inlineStr">
        <is>
          <t>2026-04-25</t>
        </is>
      </c>
    </row>
    <row r="84" ht="80.09999999999999" customHeight="1">
      <c r="A84" t="inlineStr">
        <is>
          <t>es_cn_001</t>
        </is>
      </c>
      <c r="B84" t="inlineStr">
        <is>
          <t>18 Grados Sin Gluten</t>
        </is>
      </c>
      <c r="C84" t="inlineStr">
        <is>
          <t>18-grados-sin-gluten-las-palmas</t>
        </is>
      </c>
      <c r="D84" t="inlineStr">
        <is>
          <t>ES</t>
        </is>
      </c>
      <c r="E84" t="inlineStr">
        <is>
          <t>ES-CN</t>
        </is>
      </c>
      <c r="F84" t="inlineStr">
        <is>
          <t>Canarias</t>
        </is>
      </c>
      <c r="G84" t="inlineStr">
        <is>
          <t>Las Palmas</t>
        </is>
      </c>
      <c r="H84" t="inlineStr">
        <is>
          <t>Las Palmas de Gran Canaria</t>
        </is>
      </c>
      <c r="I84" t="inlineStr">
        <is>
          <t>Guanarteme</t>
        </is>
      </c>
      <c r="J84" t="inlineStr">
        <is>
          <t>35010</t>
        </is>
      </c>
      <c r="K84" t="inlineStr">
        <is>
          <t>Calle Covadonga, 2</t>
        </is>
      </c>
      <c r="L84" t="n">
        <v>28.129691</v>
      </c>
      <c r="M84" t="n">
        <v>-15.446821</v>
      </c>
      <c r="P84" t="inlineStr">
        <is>
          <t>restaurant</t>
        </is>
      </c>
      <c r="Q84" t="inlineStr">
        <is>
          <t>internacional, hamburguesas, pizzas, vegana</t>
        </is>
      </c>
      <c r="R84" t="inlineStr">
        <is>
          <t>€€</t>
        </is>
      </c>
      <c r="S84" t="inlineStr">
        <is>
          <t>lunch, dinner</t>
        </is>
      </c>
      <c r="T84" t="inlineStr">
        <is>
          <t>pending_verification</t>
        </is>
      </c>
      <c r="W84" t="b">
        <v>0</v>
      </c>
      <c r="X84" t="b">
        <v>0</v>
      </c>
      <c r="Y84" t="inlineStr">
        <is>
          <t>Asoceca</t>
        </is>
      </c>
      <c r="Z84" t="inlineStr">
        <is>
          <t>+34828999347</t>
        </is>
      </c>
      <c r="AI84" t="inlineStr">
        <is>
          <t>100% glutenfreies Restaurant in Las Palmas mit abwechslungsreicher Karte: Burger, Pizzen, Kroketten.</t>
        </is>
      </c>
      <c r="AJ84" t="inlineStr">
        <is>
          <t>100% gluten-free restaurant in Las Palmas with varied menu: burgers, pizzas, croquettes.</t>
        </is>
      </c>
      <c r="AK84" t="inlineStr">
        <is>
          <t>Restaurante 100% sin gluten en Las Palmas con menú variado: hamburguesas, pizzas, croquetas.</t>
        </is>
      </c>
      <c r="AM84" t="b">
        <v>1</v>
      </c>
      <c r="AN84" t="b">
        <v>0</v>
      </c>
      <c r="AT84" t="inlineStr">
        <is>
          <t>ACSG-Verzeichnis: '+100% Restaurante. Toda la carta es sin gluten'. Local Guide Gran Canaria: 'todo el menú gluten-free... chicken fingers, croquetas, calamares, burgers y pizzas gluten free muy good'. PRÜFEN.</t>
        </is>
      </c>
      <c r="AV84" t="inlineStr">
        <is>
          <t>regional_association</t>
        </is>
      </c>
      <c r="AW84" t="inlineStr">
        <is>
          <t>celiacosmadrid.org + localguidegrancanaria.com (Stand 2024-2025)</t>
        </is>
      </c>
      <c r="AX84" t="inlineStr">
        <is>
          <t>2026-04-25</t>
        </is>
      </c>
      <c r="AY84" t="inlineStr">
        <is>
          <t>2026-04-25</t>
        </is>
      </c>
    </row>
    <row r="85" ht="80.09999999999999" customHeight="1">
      <c r="A85" t="inlineStr">
        <is>
          <t>es_cn_002</t>
        </is>
      </c>
      <c r="B85" t="inlineStr">
        <is>
          <t>Restaurante 18 Grados (Las Canteras)</t>
        </is>
      </c>
      <c r="C85" t="inlineStr">
        <is>
          <t>18-grados-las-canteras</t>
        </is>
      </c>
      <c r="D85" t="inlineStr">
        <is>
          <t>ES</t>
        </is>
      </c>
      <c r="E85" t="inlineStr">
        <is>
          <t>ES-CN</t>
        </is>
      </c>
      <c r="F85" t="inlineStr">
        <is>
          <t>Canarias</t>
        </is>
      </c>
      <c r="G85" t="inlineStr">
        <is>
          <t>Las Palmas</t>
        </is>
      </c>
      <c r="H85" t="inlineStr">
        <is>
          <t>Las Palmas de Gran Canaria</t>
        </is>
      </c>
      <c r="I85" t="inlineStr">
        <is>
          <t>Las Canteras</t>
        </is>
      </c>
      <c r="K85" t="inlineStr">
        <is>
          <t>cerca del Auditorio Alfredo Kraus y Playa de las Canteras</t>
        </is>
      </c>
      <c r="L85" t="n">
        <v>28.128869</v>
      </c>
      <c r="M85" t="n">
        <v>-15.434902</v>
      </c>
      <c r="P85" t="inlineStr">
        <is>
          <t>restaurant</t>
        </is>
      </c>
      <c r="Q85" t="inlineStr">
        <is>
          <t>internacional, vegana</t>
        </is>
      </c>
      <c r="R85" t="inlineStr">
        <is>
          <t>€€€</t>
        </is>
      </c>
      <c r="S85" t="inlineStr">
        <is>
          <t>lunch, dinner</t>
        </is>
      </c>
      <c r="T85" t="inlineStr">
        <is>
          <t>pending_verification</t>
        </is>
      </c>
      <c r="W85" t="b">
        <v>0</v>
      </c>
      <c r="X85" t="b">
        <v>0</v>
      </c>
      <c r="Y85" t="inlineStr">
        <is>
          <t>Asoceca</t>
        </is>
      </c>
      <c r="AI85" t="inlineStr">
        <is>
          <t>100% glutenfreies Restaurant nahe dem Alfredo-Kraus-Auditorium und Strand Las Canteras.</t>
        </is>
      </c>
      <c r="AJ85" t="inlineStr">
        <is>
          <t>100% gluten-free restaurant near Alfredo Kraus Auditorium and Las Canteras beach.</t>
        </is>
      </c>
      <c r="AK85" t="inlineStr">
        <is>
          <t>Restaurante 100% sin gluten cerca del Auditorio Alfredo Kraus y la playa de las Canteras.</t>
        </is>
      </c>
      <c r="AM85" t="b">
        <v>1</v>
      </c>
      <c r="AN85" t="b">
        <v>0</v>
      </c>
      <c r="AT85" t="inlineStr">
        <is>
          <t>Disfrutando sin Gluten: 'Restaurante 100% sin gluten ubicado en la Playa de las Canteras... avalado por Asoceca'. Möglicherweise Schwesterbetrieb von 18 Grados. PRÜFEN: Adresse, Beziehung zu 18 Grados Covadonga.</t>
        </is>
      </c>
      <c r="AV85" t="inlineStr">
        <is>
          <t>regional_association</t>
        </is>
      </c>
      <c r="AW85" t="inlineStr">
        <is>
          <t>disfrutandosingluten.es (Stand 05/2025)</t>
        </is>
      </c>
      <c r="AX85" t="inlineStr">
        <is>
          <t>2026-04-25</t>
        </is>
      </c>
      <c r="AY85" t="inlineStr">
        <is>
          <t>2026-04-25</t>
        </is>
      </c>
    </row>
    <row r="86" ht="80.09999999999999" customHeight="1">
      <c r="A86" t="inlineStr">
        <is>
          <t>es_cn_003</t>
        </is>
      </c>
      <c r="B86" t="inlineStr">
        <is>
          <t>Cokí</t>
        </is>
      </c>
      <c r="C86" t="inlineStr">
        <is>
          <t>coki-las-palmas</t>
        </is>
      </c>
      <c r="D86" t="inlineStr">
        <is>
          <t>ES</t>
        </is>
      </c>
      <c r="E86" t="inlineStr">
        <is>
          <t>ES-CN</t>
        </is>
      </c>
      <c r="F86" t="inlineStr">
        <is>
          <t>Canarias</t>
        </is>
      </c>
      <c r="G86" t="inlineStr">
        <is>
          <t>Las Palmas</t>
        </is>
      </c>
      <c r="H86" t="inlineStr">
        <is>
          <t>Las Palmas de Gran Canaria</t>
        </is>
      </c>
      <c r="I86" t="inlineStr">
        <is>
          <t>Triana</t>
        </is>
      </c>
      <c r="J86" t="inlineStr">
        <is>
          <t>35002</t>
        </is>
      </c>
      <c r="K86" t="inlineStr">
        <is>
          <t>Calle de Perdomo, 20, 1º</t>
        </is>
      </c>
      <c r="L86" t="n">
        <v>28.128869</v>
      </c>
      <c r="M86" t="n">
        <v>-15.434902</v>
      </c>
      <c r="P86" t="inlineStr">
        <is>
          <t>restaurant</t>
        </is>
      </c>
      <c r="Q86" t="inlineStr">
        <is>
          <t>internacional, hamburguesas, pasta</t>
        </is>
      </c>
      <c r="R86" t="inlineStr">
        <is>
          <t>€€</t>
        </is>
      </c>
      <c r="S86" t="inlineStr">
        <is>
          <t>lunch, dinner</t>
        </is>
      </c>
      <c r="T86" t="inlineStr">
        <is>
          <t>pending_verification</t>
        </is>
      </c>
      <c r="W86" t="b">
        <v>0</v>
      </c>
      <c r="X86" t="b">
        <v>0</v>
      </c>
      <c r="Y86" t="inlineStr">
        <is>
          <t>Asoceca</t>
        </is>
      </c>
      <c r="AM86" t="b">
        <v>1</v>
      </c>
      <c r="AN86" t="b">
        <v>0</v>
      </c>
      <c r="AT86" t="inlineStr">
        <is>
          <t>Celiaquita: 'cokigur deliciosos y 100% sin gluten... Asociación de celíacos de Las Palmas'. UNKLAR ob 100% GF — 'cuida con resguardo la preparación de los alimentos sin gluten' deutet eher auf Mischbetrieb. KLÄRUNGSBEDARF.</t>
        </is>
      </c>
      <c r="AV86" t="inlineStr">
        <is>
          <t>blog_research</t>
        </is>
      </c>
      <c r="AW86" t="inlineStr">
        <is>
          <t>celiaquita.com — Status 100% UNKLAR</t>
        </is>
      </c>
      <c r="AX86" t="inlineStr">
        <is>
          <t>2026-04-25</t>
        </is>
      </c>
      <c r="AY86" t="inlineStr">
        <is>
          <t>2026-04-25</t>
        </is>
      </c>
    </row>
    <row r="87" ht="80.09999999999999" customHeight="1">
      <c r="A87" t="inlineStr">
        <is>
          <t>es_cn_004</t>
        </is>
      </c>
      <c r="B87" t="inlineStr">
        <is>
          <t>Cervecería El Dojo</t>
        </is>
      </c>
      <c r="C87" t="inlineStr">
        <is>
          <t>cerveceria-el-dojo-telde</t>
        </is>
      </c>
      <c r="D87" t="inlineStr">
        <is>
          <t>ES</t>
        </is>
      </c>
      <c r="E87" t="inlineStr">
        <is>
          <t>ES-CN</t>
        </is>
      </c>
      <c r="F87" t="inlineStr">
        <is>
          <t>Canarias</t>
        </is>
      </c>
      <c r="G87" t="inlineStr">
        <is>
          <t>Las Palmas</t>
        </is>
      </c>
      <c r="H87" t="inlineStr">
        <is>
          <t>Telde</t>
        </is>
      </c>
      <c r="L87" t="n">
        <v>27.998454</v>
      </c>
      <c r="M87" t="n">
        <v>-15.416676</v>
      </c>
      <c r="P87" t="inlineStr">
        <is>
          <t>bar_tapas</t>
        </is>
      </c>
      <c r="Q87" t="inlineStr">
        <is>
          <t>internacional</t>
        </is>
      </c>
      <c r="R87" t="inlineStr">
        <is>
          <t>€€</t>
        </is>
      </c>
      <c r="S87" t="inlineStr">
        <is>
          <t>lunch, dinner, snacks</t>
        </is>
      </c>
      <c r="T87" t="inlineStr">
        <is>
          <t>pending_verification</t>
        </is>
      </c>
      <c r="W87" t="b">
        <v>0</v>
      </c>
      <c r="X87" t="b">
        <v>0</v>
      </c>
      <c r="Y87" t="inlineStr">
        <is>
          <t>Asoceca</t>
        </is>
      </c>
      <c r="AM87" t="b">
        <v>1</v>
      </c>
      <c r="AN87" t="b">
        <v>0</v>
      </c>
      <c r="AT87" t="inlineStr">
        <is>
          <t>Celiaquita TOP-Empfehlung: 'espectacular local perfecto para tomar cervezas artesanas y comer comida sin gluten en Telde. Numerosas cervezas sin gluten nacionales e internacionales en botella, en lata y hasta en grifo'. PRÜFEN: Adresse, Status 100% GF.</t>
        </is>
      </c>
      <c r="AV87" t="inlineStr">
        <is>
          <t>blog_research</t>
        </is>
      </c>
      <c r="AW87" t="inlineStr">
        <is>
          <t>celiaquita.com (Stand 12/2024) — Status 100% UNKLAR</t>
        </is>
      </c>
      <c r="AX87" t="inlineStr">
        <is>
          <t>2026-04-25</t>
        </is>
      </c>
      <c r="AY87" t="inlineStr">
        <is>
          <t>2026-04-25</t>
        </is>
      </c>
    </row>
    <row r="88" ht="80.09999999999999" customHeight="1">
      <c r="A88" t="inlineStr">
        <is>
          <t>es_cn_005</t>
        </is>
      </c>
      <c r="B88" t="inlineStr">
        <is>
          <t>Restaurante Arinaga 100% Sin Gluten</t>
        </is>
      </c>
      <c r="C88" t="inlineStr">
        <is>
          <t>restaurante-arinaga-sin-gluten</t>
        </is>
      </c>
      <c r="D88" t="inlineStr">
        <is>
          <t>ES</t>
        </is>
      </c>
      <c r="E88" t="inlineStr">
        <is>
          <t>ES-CN</t>
        </is>
      </c>
      <c r="F88" t="inlineStr">
        <is>
          <t>Canarias</t>
        </is>
      </c>
      <c r="G88" t="inlineStr">
        <is>
          <t>Las Palmas</t>
        </is>
      </c>
      <c r="H88" t="inlineStr">
        <is>
          <t>Arinaga</t>
        </is>
      </c>
      <c r="J88" t="inlineStr">
        <is>
          <t>35118</t>
        </is>
      </c>
      <c r="K88" t="inlineStr">
        <is>
          <t>Calle Alcalá Galiano, 17</t>
        </is>
      </c>
      <c r="L88" t="n">
        <v>27.856758</v>
      </c>
      <c r="M88" t="n">
        <v>-15.393177</v>
      </c>
      <c r="P88" t="inlineStr">
        <is>
          <t>restaurant</t>
        </is>
      </c>
      <c r="Q88" t="inlineStr">
        <is>
          <t>espanola, internacional</t>
        </is>
      </c>
      <c r="R88" t="inlineStr">
        <is>
          <t>€€</t>
        </is>
      </c>
      <c r="S88" t="inlineStr">
        <is>
          <t>lunch, dinner</t>
        </is>
      </c>
      <c r="T88" t="inlineStr">
        <is>
          <t>pending_verification</t>
        </is>
      </c>
      <c r="W88" t="b">
        <v>0</v>
      </c>
      <c r="X88" t="b">
        <v>0</v>
      </c>
      <c r="Y88" t="inlineStr">
        <is>
          <t>Asoceca</t>
        </is>
      </c>
      <c r="AI88" t="inlineStr">
        <is>
          <t>100% glutenfreies Restaurant in Arinaga, Gran Canaria. Traditionelle kanarische Küche.</t>
        </is>
      </c>
      <c r="AJ88" t="inlineStr">
        <is>
          <t>100% gluten-free restaurant in Arinaga, Gran Canaria. Traditional Canarian cuisine.</t>
        </is>
      </c>
      <c r="AK88" t="inlineStr">
        <is>
          <t>Restaurante 100% sin gluten en Arinaga, Gran Canaria. Cocina canaria tradicional.</t>
        </is>
      </c>
      <c r="AM88" t="b">
        <v>1</v>
      </c>
      <c r="AN88" t="b">
        <v>0</v>
      </c>
      <c r="AT88" t="inlineStr">
        <is>
          <t>Trotamundos sin Gluten: 'restaurante 100% sin gluten con una gran calidad y un trato estupendo... amplia variedad de platos típicos canarios, y un menú del día muy económico'. PRÜFEN: aktueller Name, Status (Quelle alt).</t>
        </is>
      </c>
      <c r="AV88" t="inlineStr">
        <is>
          <t>blog_research</t>
        </is>
      </c>
      <c r="AW88" t="inlineStr">
        <is>
          <t>trotamundossingluten.wordpress.com (alte Quelle, Status checken)</t>
        </is>
      </c>
      <c r="AX88" t="inlineStr">
        <is>
          <t>2026-04-25</t>
        </is>
      </c>
      <c r="AY88" t="inlineStr">
        <is>
          <t>2026-04-25</t>
        </is>
      </c>
    </row>
    <row r="89" ht="80.09999999999999" customHeight="1">
      <c r="A89" t="inlineStr">
        <is>
          <t>es_cn_006</t>
        </is>
      </c>
      <c r="B89" t="inlineStr">
        <is>
          <t>Liágora Canaria</t>
        </is>
      </c>
      <c r="C89" t="inlineStr">
        <is>
          <t>liagora-canaria-las-palmas</t>
        </is>
      </c>
      <c r="D89" t="inlineStr">
        <is>
          <t>ES</t>
        </is>
      </c>
      <c r="E89" t="inlineStr">
        <is>
          <t>ES-CN</t>
        </is>
      </c>
      <c r="F89" t="inlineStr">
        <is>
          <t>Canarias</t>
        </is>
      </c>
      <c r="G89" t="inlineStr">
        <is>
          <t>Las Palmas</t>
        </is>
      </c>
      <c r="H89" t="inlineStr">
        <is>
          <t>Las Palmas de Gran Canaria</t>
        </is>
      </c>
      <c r="L89" t="n">
        <v>28.128869</v>
      </c>
      <c r="M89" t="n">
        <v>-15.434902</v>
      </c>
      <c r="P89" t="inlineStr">
        <is>
          <t>restaurant</t>
        </is>
      </c>
      <c r="Q89" t="inlineStr">
        <is>
          <t>espanola, arroces, mariscos</t>
        </is>
      </c>
      <c r="R89" t="inlineStr">
        <is>
          <t>€€€</t>
        </is>
      </c>
      <c r="S89" t="inlineStr">
        <is>
          <t>lunch, dinner</t>
        </is>
      </c>
      <c r="T89" t="inlineStr">
        <is>
          <t>pending_verification</t>
        </is>
      </c>
      <c r="W89" t="b">
        <v>0</v>
      </c>
      <c r="X89" t="b">
        <v>0</v>
      </c>
      <c r="AM89" t="b">
        <v>1</v>
      </c>
      <c r="AN89" t="b">
        <v>0</v>
      </c>
      <c r="AT89" t="inlineStr">
        <is>
          <t>Local Guide Gran Canaria: 'restaurante especializado en comida canaria, arroz, pescado y mariscos... apparently 100% gluten-free alternatives'. UNKLAR — 'apparently' = unsicher. KLÄRUNGSBEDARF. Möglicherweise Mischbetrieb.</t>
        </is>
      </c>
      <c r="AV89" t="inlineStr">
        <is>
          <t>blog_research</t>
        </is>
      </c>
      <c r="AW89" t="inlineStr">
        <is>
          <t>localguidegrancanaria.com — Quelle unsicher ('apparently')</t>
        </is>
      </c>
      <c r="AX89" t="inlineStr">
        <is>
          <t>2026-04-25</t>
        </is>
      </c>
      <c r="AY89" t="inlineStr">
        <is>
          <t>2026-04-25</t>
        </is>
      </c>
    </row>
    <row r="90" ht="80.09999999999999" customHeight="1">
      <c r="A90" t="inlineStr">
        <is>
          <t>es_ar_001</t>
        </is>
      </c>
      <c r="B90" t="inlineStr">
        <is>
          <t>La Jaula de Grillos</t>
        </is>
      </c>
      <c r="C90" t="inlineStr">
        <is>
          <t>la-jaula-de-grillos-zaragoza</t>
        </is>
      </c>
      <c r="D90" t="inlineStr">
        <is>
          <t>ES</t>
        </is>
      </c>
      <c r="E90" t="inlineStr">
        <is>
          <t>ES-AR</t>
        </is>
      </c>
      <c r="F90" t="inlineStr">
        <is>
          <t>Aragón</t>
        </is>
      </c>
      <c r="G90" t="inlineStr">
        <is>
          <t>Zaragoza</t>
        </is>
      </c>
      <c r="H90" t="inlineStr">
        <is>
          <t>Zaragoza</t>
        </is>
      </c>
      <c r="K90" t="inlineStr">
        <is>
          <t>C. Juan de Bruil, 19</t>
        </is>
      </c>
      <c r="L90" t="n">
        <v>41.691585</v>
      </c>
      <c r="M90" t="n">
        <v>-0.910127</v>
      </c>
      <c r="P90" t="inlineStr">
        <is>
          <t>restaurant</t>
        </is>
      </c>
      <c r="Q90" t="inlineStr">
        <is>
          <t>espanola, tapas, internacional, hamburguesas, pizzas</t>
        </is>
      </c>
      <c r="R90" t="inlineStr">
        <is>
          <t>€€</t>
        </is>
      </c>
      <c r="S90" t="inlineStr">
        <is>
          <t>lunch, dinner, snacks</t>
        </is>
      </c>
      <c r="T90" t="inlineStr">
        <is>
          <t>pending_verification</t>
        </is>
      </c>
      <c r="W90" t="b">
        <v>0</v>
      </c>
      <c r="X90" t="b">
        <v>0</v>
      </c>
      <c r="Y90" t="inlineStr">
        <is>
          <t>ACA</t>
        </is>
      </c>
      <c r="Z90" t="inlineStr">
        <is>
          <t>+34976046909</t>
        </is>
      </c>
      <c r="AC90" t="inlineStr">
        <is>
          <t>https://www.lajauladegrilloszaragoza.com</t>
        </is>
      </c>
      <c r="AI90" t="inlineStr">
        <is>
          <t>Aragóns erstes 100% glutenfreies Restaurant. Tapas, Kroketten, Pizzen, Burger. ACA-zertifiziert.</t>
        </is>
      </c>
      <c r="AJ90" t="inlineStr">
        <is>
          <t>Aragón's first 100% gluten-free restaurant. Tapas, croquettes, pizzas, burgers. ACA-certified.</t>
        </is>
      </c>
      <c r="AK90" t="inlineStr">
        <is>
          <t>Primer restaurante 100% sin gluten de Aragón. Tapas, croquetas, pizzas, hamburguesas. ACA-certificado.</t>
        </is>
      </c>
      <c r="AM90" t="b">
        <v>1</v>
      </c>
      <c r="AN90" t="b">
        <v>0</v>
      </c>
      <c r="AT90" t="inlineStr">
        <is>
          <t>Erstes 100% GF-Restaurant Aragóns. ACA-zertifiziert. Mehrfach bestätigte 100%-GF-Quelle (Disfrutando sin Gluten, unbuendiaenzaragoza, Rubén Isarría). PRÜFEN.</t>
        </is>
      </c>
      <c r="AV90" t="inlineStr">
        <is>
          <t>regional_association</t>
        </is>
      </c>
      <c r="AW90" t="inlineStr">
        <is>
          <t>disfrutandosingluten.es + unbuendiaenzaragoza.com + rubenisarria.com (Stand 2024-2026)</t>
        </is>
      </c>
      <c r="AX90" t="inlineStr">
        <is>
          <t>2026-04-25</t>
        </is>
      </c>
      <c r="AY90" t="inlineStr">
        <is>
          <t>2026-04-25</t>
        </is>
      </c>
    </row>
    <row r="91" ht="80.09999999999999" customHeight="1">
      <c r="A91" t="inlineStr">
        <is>
          <t>es_ar_002</t>
        </is>
      </c>
      <c r="B91" t="inlineStr">
        <is>
          <t>Labamba Cook Art</t>
        </is>
      </c>
      <c r="C91" t="inlineStr">
        <is>
          <t>labamba-cook-art-zaragoza</t>
        </is>
      </c>
      <c r="D91" t="inlineStr">
        <is>
          <t>ES</t>
        </is>
      </c>
      <c r="E91" t="inlineStr">
        <is>
          <t>ES-AR</t>
        </is>
      </c>
      <c r="F91" t="inlineStr">
        <is>
          <t>Aragón</t>
        </is>
      </c>
      <c r="G91" t="inlineStr">
        <is>
          <t>Zaragoza</t>
        </is>
      </c>
      <c r="H91" t="inlineStr">
        <is>
          <t>Zaragoza</t>
        </is>
      </c>
      <c r="I91" t="inlineStr">
        <is>
          <t>Casco Antiguo</t>
        </is>
      </c>
      <c r="J91" t="inlineStr">
        <is>
          <t>50003</t>
        </is>
      </c>
      <c r="K91" t="inlineStr">
        <is>
          <t>C. de las Vírgenes, 7</t>
        </is>
      </c>
      <c r="L91" t="n">
        <v>41.654292</v>
      </c>
      <c r="M91" t="n">
        <v>-0.880131</v>
      </c>
      <c r="P91" t="inlineStr">
        <is>
          <t>restaurant</t>
        </is>
      </c>
      <c r="Q91" t="inlineStr">
        <is>
          <t>internacional</t>
        </is>
      </c>
      <c r="R91" t="inlineStr">
        <is>
          <t>€€€</t>
        </is>
      </c>
      <c r="S91" t="inlineStr">
        <is>
          <t>dinner</t>
        </is>
      </c>
      <c r="T91" t="inlineStr">
        <is>
          <t>pending_verification</t>
        </is>
      </c>
      <c r="W91" t="b">
        <v>0</v>
      </c>
      <c r="X91" t="b">
        <v>0</v>
      </c>
      <c r="Y91" t="inlineStr">
        <is>
          <t>ACA</t>
        </is>
      </c>
      <c r="Z91" t="inlineStr">
        <is>
          <t>+34635438970</t>
        </is>
      </c>
      <c r="AC91" t="inlineStr">
        <is>
          <t>https://www.labambarestaurante.com</t>
        </is>
      </c>
      <c r="AI91" t="inlineStr">
        <is>
          <t>Fusion-Restaurant mit 100% glutenfreiem Tasting-Menü in Zaragozas Altstadt.</t>
        </is>
      </c>
      <c r="AJ91" t="inlineStr">
        <is>
          <t>Fusion restaurant with 100% gluten-free tasting menu in Zaragoza's old town.</t>
        </is>
      </c>
      <c r="AK91" t="inlineStr">
        <is>
          <t>Restaurante de cocina fusión con menú degustación 100% sin gluten en el casco antiguo de Zaragoza.</t>
        </is>
      </c>
      <c r="AM91" t="b">
        <v>1</v>
      </c>
      <c r="AN91" t="b">
        <v>0</v>
      </c>
      <c r="AT91" t="inlineStr">
        <is>
          <t>Cocina-Fusión-Restaurant mit Tasting-Menü (6 Gänge), wechselt alle 3 Monate. unbuendiaenzaragoza: 'Todos los platos son sin gluten'. ACA-zertifiziert. Schwesterbetrieb Bambita Restaurante (C. del Heroísmo, 47). PRÜFEN.</t>
        </is>
      </c>
      <c r="AV91" t="inlineStr">
        <is>
          <t>regional_association</t>
        </is>
      </c>
      <c r="AW91" t="inlineStr">
        <is>
          <t>unbuendiaenzaragoza.com + rubenisarria.com (Stand 2025-2026)</t>
        </is>
      </c>
      <c r="AX91" t="inlineStr">
        <is>
          <t>2026-04-25</t>
        </is>
      </c>
      <c r="AY91" t="inlineStr">
        <is>
          <t>2026-04-25</t>
        </is>
      </c>
    </row>
    <row r="92" ht="80.09999999999999" customHeight="1">
      <c r="A92" t="inlineStr">
        <is>
          <t>es_ar_003</t>
        </is>
      </c>
      <c r="B92" t="inlineStr">
        <is>
          <t>De Moretti</t>
        </is>
      </c>
      <c r="C92" t="inlineStr">
        <is>
          <t>de-moretti-zaragoza</t>
        </is>
      </c>
      <c r="D92" t="inlineStr">
        <is>
          <t>ES</t>
        </is>
      </c>
      <c r="E92" t="inlineStr">
        <is>
          <t>ES-AR</t>
        </is>
      </c>
      <c r="F92" t="inlineStr">
        <is>
          <t>Aragón</t>
        </is>
      </c>
      <c r="G92" t="inlineStr">
        <is>
          <t>Zaragoza</t>
        </is>
      </c>
      <c r="H92" t="inlineStr">
        <is>
          <t>Zaragoza</t>
        </is>
      </c>
      <c r="L92" t="n">
        <v>41.691585</v>
      </c>
      <c r="M92" t="n">
        <v>-0.910127</v>
      </c>
      <c r="P92" t="inlineStr">
        <is>
          <t>restaurant</t>
        </is>
      </c>
      <c r="Q92" t="inlineStr">
        <is>
          <t>italiana, pasta, pizzas</t>
        </is>
      </c>
      <c r="R92" t="inlineStr">
        <is>
          <t>€€</t>
        </is>
      </c>
      <c r="S92" t="inlineStr">
        <is>
          <t>lunch, dinner</t>
        </is>
      </c>
      <c r="T92" t="inlineStr">
        <is>
          <t>pending_verification</t>
        </is>
      </c>
      <c r="W92" t="b">
        <v>0</v>
      </c>
      <c r="X92" t="b">
        <v>0</v>
      </c>
      <c r="Y92" t="inlineStr">
        <is>
          <t>ACA</t>
        </is>
      </c>
      <c r="AI92" t="inlineStr">
        <is>
          <t>Aragóns erstes 100% glutenfreies italienisches Restaurant mit eigener frischer Pasta-Manufaktur.</t>
        </is>
      </c>
      <c r="AJ92" t="inlineStr">
        <is>
          <t>Aragón's first 100% gluten-free Italian restaurant with own fresh pasta production.</t>
        </is>
      </c>
      <c r="AK92" t="inlineStr">
        <is>
          <t>Primer restaurante italiano 100% sin gluten de Aragón con obrador propio de pasta fresca.</t>
        </is>
      </c>
      <c r="AM92" t="b">
        <v>1</v>
      </c>
      <c r="AN92" t="b">
        <v>0</v>
      </c>
      <c r="AT92" t="inlineStr">
        <is>
          <t>ComeCome Zaragoza: 'primer establecimiento en Aragón en ofrecer una carta 100% sin gluten' italienisch. unbuendiaenzaragoza: 'primer italiano 100% sin gluten con obrador propio en Aragón'. Eigene Pasta-Manufaktur. Eröffnet Sommer 2024/2025. PRÜFEN: Adresse.</t>
        </is>
      </c>
      <c r="AV92" t="inlineStr">
        <is>
          <t>blog_research</t>
        </is>
      </c>
      <c r="AW92" t="inlineStr">
        <is>
          <t>comecomezaragoza.es + unbuendiaenzaragoza.com (Stand 2024-2026)</t>
        </is>
      </c>
      <c r="AX92" t="inlineStr">
        <is>
          <t>2026-04-25</t>
        </is>
      </c>
      <c r="AY92" t="inlineStr">
        <is>
          <t>2026-04-25</t>
        </is>
      </c>
    </row>
    <row r="93" ht="80.09999999999999" customHeight="1">
      <c r="A93" t="inlineStr">
        <is>
          <t>es_ar_004</t>
        </is>
      </c>
      <c r="B93" t="inlineStr">
        <is>
          <t>Urbanita Gastrobar</t>
        </is>
      </c>
      <c r="C93" t="inlineStr">
        <is>
          <t>urbanita-gastrobar-zaragoza</t>
        </is>
      </c>
      <c r="D93" t="inlineStr">
        <is>
          <t>ES</t>
        </is>
      </c>
      <c r="E93" t="inlineStr">
        <is>
          <t>ES-AR</t>
        </is>
      </c>
      <c r="F93" t="inlineStr">
        <is>
          <t>Aragón</t>
        </is>
      </c>
      <c r="G93" t="inlineStr">
        <is>
          <t>Zaragoza</t>
        </is>
      </c>
      <c r="H93" t="inlineStr">
        <is>
          <t>Zaragoza</t>
        </is>
      </c>
      <c r="J93" t="inlineStr">
        <is>
          <t>50008</t>
        </is>
      </c>
      <c r="K93" t="inlineStr">
        <is>
          <t>C. del Dr. Casas, 9</t>
        </is>
      </c>
      <c r="L93" t="n">
        <v>41.643388</v>
      </c>
      <c r="M93" t="n">
        <v>-0.883649</v>
      </c>
      <c r="P93" t="inlineStr">
        <is>
          <t>restaurant</t>
        </is>
      </c>
      <c r="Q93" t="inlineStr">
        <is>
          <t>internacional, saludable</t>
        </is>
      </c>
      <c r="R93" t="inlineStr">
        <is>
          <t>€€</t>
        </is>
      </c>
      <c r="S93" t="inlineStr">
        <is>
          <t>breakfast, brunch, lunch, dinner</t>
        </is>
      </c>
      <c r="T93" t="inlineStr">
        <is>
          <t>pending_verification</t>
        </is>
      </c>
      <c r="W93" t="b">
        <v>0</v>
      </c>
      <c r="X93" t="b">
        <v>0</v>
      </c>
      <c r="Y93" t="inlineStr">
        <is>
          <t>ACA</t>
        </is>
      </c>
      <c r="AI93" t="inlineStr">
        <is>
          <t>100% glutenfreie Gastrobar in Zaragoza mit kreativer Fusion-Küche und Gourmet-Frühstück.</t>
        </is>
      </c>
      <c r="AJ93" t="inlineStr">
        <is>
          <t>100% gluten-free gastrobar in Zaragoza with creative fusion cuisine and gourmet breakfasts.</t>
        </is>
      </c>
      <c r="AK93" t="inlineStr">
        <is>
          <t>Gastrobar 100% sin gluten en Zaragoza con cocina fusión creativa y desayunos gourmet.</t>
        </is>
      </c>
      <c r="AM93" t="b">
        <v>1</v>
      </c>
      <c r="AN93" t="b">
        <v>0</v>
      </c>
      <c r="AT93" t="inlineStr">
        <is>
          <t>ComeCome Zaragoza: 'Urbanita Gastrobar, es un espacio 100% libre de gluten que ofrece una cocina fusión creativa'. Chef Alberto Brosed. PRÜFEN.</t>
        </is>
      </c>
      <c r="AV93" t="inlineStr">
        <is>
          <t>blog_research</t>
        </is>
      </c>
      <c r="AW93" t="inlineStr">
        <is>
          <t>comecomezaragoza.es (Stand 01/2025)</t>
        </is>
      </c>
      <c r="AX93" t="inlineStr">
        <is>
          <t>2026-04-25</t>
        </is>
      </c>
      <c r="AY93" t="inlineStr">
        <is>
          <t>2026-04-25</t>
        </is>
      </c>
    </row>
    <row r="94" ht="80.09999999999999" customHeight="1">
      <c r="A94" t="inlineStr">
        <is>
          <t>es_ar_005</t>
        </is>
      </c>
      <c r="B94" t="inlineStr">
        <is>
          <t>El Truco</t>
        </is>
      </c>
      <c r="C94" t="inlineStr">
        <is>
          <t>el-truco-zaragoza</t>
        </is>
      </c>
      <c r="D94" t="inlineStr">
        <is>
          <t>ES</t>
        </is>
      </c>
      <c r="E94" t="inlineStr">
        <is>
          <t>ES-AR</t>
        </is>
      </c>
      <c r="F94" t="inlineStr">
        <is>
          <t>Aragón</t>
        </is>
      </c>
      <c r="G94" t="inlineStr">
        <is>
          <t>Zaragoza</t>
        </is>
      </c>
      <c r="H94" t="inlineStr">
        <is>
          <t>Zaragoza</t>
        </is>
      </c>
      <c r="I94" t="inlineStr">
        <is>
          <t>El Tubo</t>
        </is>
      </c>
      <c r="K94" t="inlineStr">
        <is>
          <t>C. de los Estébanes, 2</t>
        </is>
      </c>
      <c r="L94" t="n">
        <v>41.691585</v>
      </c>
      <c r="M94" t="n">
        <v>-0.910127</v>
      </c>
      <c r="P94" t="inlineStr">
        <is>
          <t>bar_tapas</t>
        </is>
      </c>
      <c r="Q94" t="inlineStr">
        <is>
          <t>espanola, tapas</t>
        </is>
      </c>
      <c r="R94" t="inlineStr">
        <is>
          <t>€€</t>
        </is>
      </c>
      <c r="S94" t="inlineStr">
        <is>
          <t>lunch, dinner, snacks</t>
        </is>
      </c>
      <c r="T94" t="inlineStr">
        <is>
          <t>pending_verification</t>
        </is>
      </c>
      <c r="W94" t="b">
        <v>0</v>
      </c>
      <c r="X94" t="b">
        <v>0</v>
      </c>
      <c r="Y94" t="inlineStr">
        <is>
          <t>ACA</t>
        </is>
      </c>
      <c r="AI94" t="inlineStr">
        <is>
          <t>100% glutenfreie Tapas-Bar in Zaragozas El Tubo.</t>
        </is>
      </c>
      <c r="AJ94" t="inlineStr">
        <is>
          <t>100% gluten-free tapas bar in Zaragoza's El Tubo district.</t>
        </is>
      </c>
      <c r="AK94" t="inlineStr">
        <is>
          <t>Bar de tapas 100% sin gluten en pleno El Tubo de Zaragoza.</t>
        </is>
      </c>
      <c r="AM94" t="b">
        <v>1</v>
      </c>
      <c r="AN94" t="b">
        <v>0</v>
      </c>
      <c r="AT94" t="inlineStr">
        <is>
          <t>ComeCome + unbuendiaenzaragoza: 'Bar de tapas y raciones especializado en comida sin gluten en El Tubo... Todas las delicias en la carta son aptas para celíacos'. ACA-zertifiziert. PRÜFEN: 100%-Status klar.</t>
        </is>
      </c>
      <c r="AV94" t="inlineStr">
        <is>
          <t>blog_research</t>
        </is>
      </c>
      <c r="AW94" t="inlineStr">
        <is>
          <t>comecomezaragoza.es + unbuendiaenzaragoza.com (Stand 2025-2026)</t>
        </is>
      </c>
      <c r="AX94" t="inlineStr">
        <is>
          <t>2026-04-25</t>
        </is>
      </c>
      <c r="AY94" t="inlineStr">
        <is>
          <t>2026-04-25</t>
        </is>
      </c>
    </row>
    <row r="95" ht="80.09999999999999" customHeight="1">
      <c r="A95" t="inlineStr">
        <is>
          <t>es_ar_006</t>
        </is>
      </c>
      <c r="B95" t="inlineStr">
        <is>
          <t>El Rincón de Sas</t>
        </is>
      </c>
      <c r="C95" t="inlineStr">
        <is>
          <t>el-rincon-de-sas-zaragoza</t>
        </is>
      </c>
      <c r="D95" t="inlineStr">
        <is>
          <t>ES</t>
        </is>
      </c>
      <c r="E95" t="inlineStr">
        <is>
          <t>ES-AR</t>
        </is>
      </c>
      <c r="F95" t="inlineStr">
        <is>
          <t>Aragón</t>
        </is>
      </c>
      <c r="G95" t="inlineStr">
        <is>
          <t>Zaragoza</t>
        </is>
      </c>
      <c r="H95" t="inlineStr">
        <is>
          <t>Zaragoza</t>
        </is>
      </c>
      <c r="I95" t="inlineStr">
        <is>
          <t>Centro</t>
        </is>
      </c>
      <c r="K95" t="inlineStr">
        <is>
          <t>C. del Blasón Aragonés, 6</t>
        </is>
      </c>
      <c r="L95" t="n">
        <v>41.65359</v>
      </c>
      <c r="M95" t="n">
        <v>-0.881016</v>
      </c>
      <c r="P95" t="inlineStr">
        <is>
          <t>restaurant</t>
        </is>
      </c>
      <c r="Q95" t="inlineStr">
        <is>
          <t>espanola, internacional</t>
        </is>
      </c>
      <c r="R95" t="inlineStr">
        <is>
          <t>€€€</t>
        </is>
      </c>
      <c r="S95" t="inlineStr">
        <is>
          <t>lunch, dinner</t>
        </is>
      </c>
      <c r="T95" t="inlineStr">
        <is>
          <t>pending_verification</t>
        </is>
      </c>
      <c r="W95" t="b">
        <v>0</v>
      </c>
      <c r="X95" t="b">
        <v>0</v>
      </c>
      <c r="Y95" t="inlineStr">
        <is>
          <t>ACA</t>
        </is>
      </c>
      <c r="Z95" t="inlineStr">
        <is>
          <t>+34976737812</t>
        </is>
      </c>
      <c r="AC95" t="inlineStr">
        <is>
          <t>https://www.elrincondesas.com</t>
        </is>
      </c>
      <c r="AI95" t="inlineStr">
        <is>
          <t>100% glutenfreies Restaurant für Autoren-Küche im Zentrum von Zaragoza.</t>
        </is>
      </c>
      <c r="AJ95" t="inlineStr">
        <is>
          <t>100% gluten-free signature cuisine restaurant in central Zaragoza.</t>
        </is>
      </c>
      <c r="AK95" t="inlineStr">
        <is>
          <t>Restaurante de cocina de autor 100% sin gluten en el centro de Zaragoza.</t>
        </is>
      </c>
      <c r="AM95" t="b">
        <v>1</v>
      </c>
      <c r="AN95" t="b">
        <v>0</v>
      </c>
      <c r="AT95" t="inlineStr">
        <is>
          <t>Rubén Isarría: 'toda su carta es apta para celíacos'. ComeCome: '100% gluten free'. ACA-zertifiziert. PRÜFEN.</t>
        </is>
      </c>
      <c r="AV95" t="inlineStr">
        <is>
          <t>regional_association</t>
        </is>
      </c>
      <c r="AW95" t="inlineStr">
        <is>
          <t>rubenisarria.com + comecomezaragoza.es (Stand 2025)</t>
        </is>
      </c>
      <c r="AX95" t="inlineStr">
        <is>
          <t>2026-04-25</t>
        </is>
      </c>
      <c r="AY95" t="inlineStr">
        <is>
          <t>2026-04-25</t>
        </is>
      </c>
    </row>
    <row r="96" ht="80.09999999999999" customHeight="1">
      <c r="A96" t="inlineStr">
        <is>
          <t>es_ar_007</t>
        </is>
      </c>
      <c r="B96" t="inlineStr">
        <is>
          <t>Costa 8 Gastrobar</t>
        </is>
      </c>
      <c r="C96" t="inlineStr">
        <is>
          <t>costa8-gastrobar-zaragoza</t>
        </is>
      </c>
      <c r="D96" t="inlineStr">
        <is>
          <t>ES</t>
        </is>
      </c>
      <c r="E96" t="inlineStr">
        <is>
          <t>ES-AR</t>
        </is>
      </c>
      <c r="F96" t="inlineStr">
        <is>
          <t>Aragón</t>
        </is>
      </c>
      <c r="G96" t="inlineStr">
        <is>
          <t>Zaragoza</t>
        </is>
      </c>
      <c r="H96" t="inlineStr">
        <is>
          <t>Zaragoza</t>
        </is>
      </c>
      <c r="K96" t="inlineStr">
        <is>
          <t>C. Joaquín Costa, 8</t>
        </is>
      </c>
      <c r="L96" t="n">
        <v>42.124809</v>
      </c>
      <c r="M96" t="n">
        <v>-1.142568</v>
      </c>
      <c r="P96" t="inlineStr">
        <is>
          <t>bar_tapas</t>
        </is>
      </c>
      <c r="Q96" t="inlineStr">
        <is>
          <t>tapas, espanola</t>
        </is>
      </c>
      <c r="R96" t="inlineStr">
        <is>
          <t>€€</t>
        </is>
      </c>
      <c r="S96" t="inlineStr">
        <is>
          <t>lunch, dinner, snacks</t>
        </is>
      </c>
      <c r="T96" t="inlineStr">
        <is>
          <t>pending_verification</t>
        </is>
      </c>
      <c r="W96" t="b">
        <v>0</v>
      </c>
      <c r="X96" t="b">
        <v>0</v>
      </c>
      <c r="Y96" t="inlineStr">
        <is>
          <t>ACA</t>
        </is>
      </c>
      <c r="Z96" t="inlineStr">
        <is>
          <t>+34661072445</t>
        </is>
      </c>
      <c r="AC96" t="inlineStr">
        <is>
          <t>https://www.costa8.es</t>
        </is>
      </c>
      <c r="AI96" t="inlineStr">
        <is>
          <t>100% glutenfreie Gastrobar in Zaragoza, ausgezeichnet mit der besten 'Huevos Rotos'-Tapa der Stadt.</t>
        </is>
      </c>
      <c r="AJ96" t="inlineStr">
        <is>
          <t>100% gluten-free gastrobar in Zaragoza, awarded best 'huevos rotos' tapa in town.</t>
        </is>
      </c>
      <c r="AK96" t="inlineStr">
        <is>
          <t>Gastrobar 100% sin gluten en Zaragoza, premiado con la mejor tapa de huevos rotos de la ciudad.</t>
        </is>
      </c>
      <c r="AM96" t="b">
        <v>1</v>
      </c>
      <c r="AN96" t="b">
        <v>0</v>
      </c>
      <c r="AT96" t="inlineStr">
        <is>
          <t>Rubén Isarría: 'toda la carta es apta para celíacos'. Auszeichnung 'mejor tapa de huevos rotos de Zaragoza'. ACA-zertifiziert. PRÜFEN.</t>
        </is>
      </c>
      <c r="AV96" t="inlineStr">
        <is>
          <t>regional_association</t>
        </is>
      </c>
      <c r="AW96" t="inlineStr">
        <is>
          <t>rubenisarria.com (Stand 02/2025)</t>
        </is>
      </c>
      <c r="AX96" t="inlineStr">
        <is>
          <t>2026-04-25</t>
        </is>
      </c>
      <c r="AY96" t="inlineStr">
        <is>
          <t>2026-04-25</t>
        </is>
      </c>
    </row>
    <row r="97" ht="80.09999999999999" customHeight="1">
      <c r="A97" t="inlineStr">
        <is>
          <t>es_ar_008</t>
        </is>
      </c>
      <c r="B97" t="inlineStr">
        <is>
          <t>Mononoke Café</t>
        </is>
      </c>
      <c r="C97" t="inlineStr">
        <is>
          <t>mononoke-cafe-zaragoza</t>
        </is>
      </c>
      <c r="D97" t="inlineStr">
        <is>
          <t>ES</t>
        </is>
      </c>
      <c r="E97" t="inlineStr">
        <is>
          <t>ES-AR</t>
        </is>
      </c>
      <c r="F97" t="inlineStr">
        <is>
          <t>Aragón</t>
        </is>
      </c>
      <c r="G97" t="inlineStr">
        <is>
          <t>Zaragoza</t>
        </is>
      </c>
      <c r="H97" t="inlineStr">
        <is>
          <t>Zaragoza</t>
        </is>
      </c>
      <c r="K97" t="inlineStr">
        <is>
          <t>Camino de las Torres, 116</t>
        </is>
      </c>
      <c r="L97" t="n">
        <v>41.640261</v>
      </c>
      <c r="M97" t="n">
        <v>-0.88573</v>
      </c>
      <c r="P97" t="inlineStr">
        <is>
          <t>pizzeria</t>
        </is>
      </c>
      <c r="Q97" t="inlineStr">
        <is>
          <t>italiana, pizzas, internacional</t>
        </is>
      </c>
      <c r="R97" t="inlineStr">
        <is>
          <t>€€</t>
        </is>
      </c>
      <c r="S97" t="inlineStr">
        <is>
          <t>lunch, dinner</t>
        </is>
      </c>
      <c r="T97" t="inlineStr">
        <is>
          <t>pending_verification</t>
        </is>
      </c>
      <c r="W97" t="b">
        <v>0</v>
      </c>
      <c r="X97" t="b">
        <v>0</v>
      </c>
      <c r="Y97" t="inlineStr">
        <is>
          <t>ACA</t>
        </is>
      </c>
      <c r="AI97" t="inlineStr">
        <is>
          <t>100% glutenfreie Pizzeria + Brettspiel-Café mit 200 Spielen und Craft-Bieren.</t>
        </is>
      </c>
      <c r="AJ97" t="inlineStr">
        <is>
          <t>100% gluten-free pizzeria + board game café with 200 games and craft beers.</t>
        </is>
      </c>
      <c r="AK97" t="inlineStr">
        <is>
          <t>Pizzería + ludoteca 100% sin gluten con 200 juegos de mesa y cervezas artesanales.</t>
        </is>
      </c>
      <c r="AM97" t="b">
        <v>1</v>
      </c>
      <c r="AN97" t="b">
        <v>0</v>
      </c>
      <c r="AT97" t="inlineStr">
        <is>
          <t>unbuendiaenzaragoza: 'pizzería sin gluten... 200 juegos de mesa y carta de tacos, pizzas, bocatas y raciones, todo 100% sin gluten'. Brettspiel-Café-Konzept mit Bier-Auswahl. PRÜFEN.</t>
        </is>
      </c>
      <c r="AV97" t="inlineStr">
        <is>
          <t>blog_research</t>
        </is>
      </c>
      <c r="AW97" t="inlineStr">
        <is>
          <t>unbuendiaenzaragoza.com (Stand 03/2026)</t>
        </is>
      </c>
      <c r="AX97" t="inlineStr">
        <is>
          <t>2026-04-25</t>
        </is>
      </c>
      <c r="AY97" t="inlineStr">
        <is>
          <t>2026-04-25</t>
        </is>
      </c>
    </row>
    <row r="98" ht="80.09999999999999" customHeight="1">
      <c r="A98" t="inlineStr">
        <is>
          <t>es_cl_001</t>
        </is>
      </c>
      <c r="B98" t="inlineStr">
        <is>
          <t>Caroba</t>
        </is>
      </c>
      <c r="C98" t="inlineStr">
        <is>
          <t>caroba-valladolid</t>
        </is>
      </c>
      <c r="D98" t="inlineStr">
        <is>
          <t>ES</t>
        </is>
      </c>
      <c r="E98" t="inlineStr">
        <is>
          <t>ES-CL</t>
        </is>
      </c>
      <c r="F98" t="inlineStr">
        <is>
          <t>Castilla y León</t>
        </is>
      </c>
      <c r="G98" t="inlineStr">
        <is>
          <t>Valladolid</t>
        </is>
      </c>
      <c r="H98" t="inlineStr">
        <is>
          <t>Valladolid</t>
        </is>
      </c>
      <c r="K98" t="inlineStr">
        <is>
          <t>Dulzainero Ángel Velasco, 1</t>
        </is>
      </c>
      <c r="L98" t="n">
        <v>41.651731</v>
      </c>
      <c r="M98" t="n">
        <v>-4.731005</v>
      </c>
      <c r="P98" t="inlineStr">
        <is>
          <t>restaurant</t>
        </is>
      </c>
      <c r="Q98" t="inlineStr">
        <is>
          <t>espanola, arroces</t>
        </is>
      </c>
      <c r="R98" t="inlineStr">
        <is>
          <t>€€</t>
        </is>
      </c>
      <c r="S98" t="inlineStr">
        <is>
          <t>lunch, dinner</t>
        </is>
      </c>
      <c r="T98" t="inlineStr">
        <is>
          <t>pending_verification</t>
        </is>
      </c>
      <c r="W98" t="b">
        <v>0</v>
      </c>
      <c r="X98" t="b">
        <v>0</v>
      </c>
      <c r="Y98" t="inlineStr">
        <is>
          <t>ACECALE</t>
        </is>
      </c>
      <c r="AI98" t="inlineStr">
        <is>
          <t>100% glutenfreies Restaurant in Valladolid, spezialisiert auf Reisgerichte. Paellas zum Mitnehmen.</t>
        </is>
      </c>
      <c r="AJ98" t="inlineStr">
        <is>
          <t>100% gluten-free restaurant in Valladolid specialized in rice dishes. Take-away paellas.</t>
        </is>
      </c>
      <c r="AK98" t="inlineStr">
        <is>
          <t>Restaurante 100% sin gluten en Valladolid especializado en arroces. Paellas para llevar.</t>
        </is>
      </c>
      <c r="AM98" t="b">
        <v>1</v>
      </c>
      <c r="AN98" t="b">
        <v>0</v>
      </c>
      <c r="AT98" t="inlineStr">
        <is>
          <t>Celicidad: 'En el 2016 la carta del Caroba se convierte en 100% sin gluten. Especializado en arroces... croquetas de gorgonzola, pulpo a la brasa con helado, cazón en adobo. Paellas para llevar'. PRÜFEN.</t>
        </is>
      </c>
      <c r="AV98" t="inlineStr">
        <is>
          <t>blog_research</t>
        </is>
      </c>
      <c r="AW98" t="inlineStr">
        <is>
          <t>celicidad.net (Stand 04/2023)</t>
        </is>
      </c>
      <c r="AX98" t="inlineStr">
        <is>
          <t>2026-04-25</t>
        </is>
      </c>
      <c r="AY98" t="inlineStr">
        <is>
          <t>2026-04-25</t>
        </is>
      </c>
    </row>
    <row r="99" ht="80.09999999999999" customHeight="1">
      <c r="A99" t="inlineStr">
        <is>
          <t>es_cl_002</t>
        </is>
      </c>
      <c r="B99" t="inlineStr">
        <is>
          <t>Asador El Brasero</t>
        </is>
      </c>
      <c r="C99" t="inlineStr">
        <is>
          <t>asador-el-brasero-zamora</t>
        </is>
      </c>
      <c r="D99" t="inlineStr">
        <is>
          <t>ES</t>
        </is>
      </c>
      <c r="E99" t="inlineStr">
        <is>
          <t>ES-CL</t>
        </is>
      </c>
      <c r="F99" t="inlineStr">
        <is>
          <t>Castilla y León</t>
        </is>
      </c>
      <c r="G99" t="inlineStr">
        <is>
          <t>Zamora</t>
        </is>
      </c>
      <c r="H99" t="inlineStr">
        <is>
          <t>Zamora</t>
        </is>
      </c>
      <c r="K99" t="inlineStr">
        <is>
          <t>Carretera Villacastín-Vigo, 14</t>
        </is>
      </c>
      <c r="L99" t="n">
        <v>41.827912</v>
      </c>
      <c r="M99" t="n">
        <v>-5.960624</v>
      </c>
      <c r="P99" t="inlineStr">
        <is>
          <t>restaurant</t>
        </is>
      </c>
      <c r="Q99" t="inlineStr">
        <is>
          <t>espanola</t>
        </is>
      </c>
      <c r="R99" t="inlineStr">
        <is>
          <t>€€</t>
        </is>
      </c>
      <c r="S99" t="inlineStr">
        <is>
          <t>lunch, dinner</t>
        </is>
      </c>
      <c r="T99" t="inlineStr">
        <is>
          <t>pending_verification</t>
        </is>
      </c>
      <c r="W99" t="b">
        <v>0</v>
      </c>
      <c r="X99" t="b">
        <v>0</v>
      </c>
      <c r="Y99" t="inlineStr">
        <is>
          <t>ACECALE</t>
        </is>
      </c>
      <c r="AI99" t="inlineStr">
        <is>
          <t>100% glutenfreies Grillhaus in Zamora, Spezialität gegrilltes Fleisch.</t>
        </is>
      </c>
      <c r="AJ99" t="inlineStr">
        <is>
          <t>100% gluten-free grill house in Zamora, specialized in grilled meat.</t>
        </is>
      </c>
      <c r="AK99" t="inlineStr">
        <is>
          <t>Asador 100% sin gluten en Zamora, especializado en carne a la brasa.</t>
        </is>
      </c>
      <c r="AM99" t="b">
        <v>1</v>
      </c>
      <c r="AN99" t="b">
        <v>0</v>
      </c>
      <c r="AT99" t="inlineStr">
        <is>
          <t>Celicidad: 'asador 100% sin gluten en el que disfrutar de su especialidad, la carne... único restaurante de Zamora que tiene convenio con ACECALE'. PRÜFEN.</t>
        </is>
      </c>
      <c r="AV99" t="inlineStr">
        <is>
          <t>blog_research</t>
        </is>
      </c>
      <c r="AW99" t="inlineStr">
        <is>
          <t>celicidad.net (Stand 04/2023). Quelle ist älter — Status unbedingt prüfen.</t>
        </is>
      </c>
      <c r="AX99" t="inlineStr">
        <is>
          <t>2026-04-25</t>
        </is>
      </c>
      <c r="AY99" t="inlineStr">
        <is>
          <t>2026-04-25</t>
        </is>
      </c>
    </row>
    <row r="100" ht="80.09999999999999" customHeight="1">
      <c r="A100" t="inlineStr">
        <is>
          <t>es_cb_001</t>
        </is>
      </c>
      <c r="B100" t="inlineStr">
        <is>
          <t>La Posada del Mar Santander</t>
        </is>
      </c>
      <c r="C100" t="inlineStr">
        <is>
          <t>la-posada-del-mar-santander</t>
        </is>
      </c>
      <c r="D100" t="inlineStr">
        <is>
          <t>ES</t>
        </is>
      </c>
      <c r="E100" t="inlineStr">
        <is>
          <t>ES-CB</t>
        </is>
      </c>
      <c r="F100" t="inlineStr">
        <is>
          <t>Cantabria</t>
        </is>
      </c>
      <c r="G100" t="inlineStr">
        <is>
          <t>Cantabria</t>
        </is>
      </c>
      <c r="H100" t="inlineStr">
        <is>
          <t>Santander</t>
        </is>
      </c>
      <c r="J100" t="inlineStr">
        <is>
          <t>39004</t>
        </is>
      </c>
      <c r="K100" t="inlineStr">
        <is>
          <t>Calle Castelar, 19</t>
        </is>
      </c>
      <c r="L100" t="n">
        <v>43.463151</v>
      </c>
      <c r="M100" t="n">
        <v>-3.793808</v>
      </c>
      <c r="P100" t="inlineStr">
        <is>
          <t>restaurant</t>
        </is>
      </c>
      <c r="Q100" t="inlineStr">
        <is>
          <t>espanola, mariscos</t>
        </is>
      </c>
      <c r="R100" t="inlineStr">
        <is>
          <t>€€€</t>
        </is>
      </c>
      <c r="S100" t="inlineStr">
        <is>
          <t>lunch, dinner</t>
        </is>
      </c>
      <c r="T100" t="inlineStr">
        <is>
          <t>pending_verification</t>
        </is>
      </c>
      <c r="W100" t="b">
        <v>0</v>
      </c>
      <c r="X100" t="b">
        <v>0</v>
      </c>
      <c r="Z100" t="inlineStr">
        <is>
          <t>+34942213023</t>
        </is>
      </c>
      <c r="AB100" t="inlineStr">
        <is>
          <t>reservas@laposadadelmar.es</t>
        </is>
      </c>
      <c r="AC100" t="inlineStr">
        <is>
          <t>https://www.laposadadelmarsantander.com</t>
        </is>
      </c>
      <c r="AM100" t="b">
        <v>1</v>
      </c>
      <c r="AN100" t="b">
        <v>0</v>
      </c>
      <c r="AT100" t="inlineStr">
        <is>
          <t>ACSG-Verzeichnis. UNKLAR ob 100% GF — wahrscheinlich Mischbetrieb mit GF-Karte. KLÄRUNGSBEDARF.</t>
        </is>
      </c>
      <c r="AV100" t="inlineStr">
        <is>
          <t>regional_association</t>
        </is>
      </c>
      <c r="AW100" t="inlineStr">
        <is>
          <t>celiacosmadrid.org — Status 100% UNKLAR, sehr wahrscheinlich nicht 100%</t>
        </is>
      </c>
      <c r="AX100" t="inlineStr">
        <is>
          <t>2026-04-25</t>
        </is>
      </c>
      <c r="AY100" t="inlineStr">
        <is>
          <t>2026-04-25</t>
        </is>
      </c>
    </row>
    <row r="101" ht="80.09999999999999" customHeight="1">
      <c r="A101" t="inlineStr">
        <is>
          <t>es_nc_001</t>
        </is>
      </c>
      <c r="B101" t="inlineStr">
        <is>
          <t>CroquetArte Pamplona</t>
        </is>
      </c>
      <c r="C101" t="inlineStr">
        <is>
          <t>croquetarte-pamplona</t>
        </is>
      </c>
      <c r="D101" t="inlineStr">
        <is>
          <t>ES</t>
        </is>
      </c>
      <c r="E101" t="inlineStr">
        <is>
          <t>ES-NC</t>
        </is>
      </c>
      <c r="F101" t="inlineStr">
        <is>
          <t>Navarra</t>
        </is>
      </c>
      <c r="G101" t="inlineStr">
        <is>
          <t>Navarra</t>
        </is>
      </c>
      <c r="H101" t="inlineStr">
        <is>
          <t>Pamplona</t>
        </is>
      </c>
      <c r="L101" t="n">
        <v>42.815686</v>
      </c>
      <c r="M101" t="n">
        <v>-1.652235</v>
      </c>
      <c r="P101" t="inlineStr">
        <is>
          <t>restaurant</t>
        </is>
      </c>
      <c r="Q101" t="inlineStr">
        <is>
          <t>espanola, tapas</t>
        </is>
      </c>
      <c r="R101" t="inlineStr">
        <is>
          <t>€€</t>
        </is>
      </c>
      <c r="S101" t="inlineStr">
        <is>
          <t>lunch, dinner, snacks</t>
        </is>
      </c>
      <c r="T101" t="inlineStr">
        <is>
          <t>pending_verification</t>
        </is>
      </c>
      <c r="W101" t="b">
        <v>1</v>
      </c>
      <c r="X101" t="b">
        <v>0</v>
      </c>
      <c r="Y101" t="inlineStr">
        <is>
          <t>FACE</t>
        </is>
      </c>
      <c r="AC101" t="inlineStr">
        <is>
          <t>https://www.croquetarte.es</t>
        </is>
      </c>
      <c r="AM101" t="b">
        <v>1</v>
      </c>
      <c r="AN101" t="b">
        <v>0</v>
      </c>
      <c r="AT101" t="inlineStr">
        <is>
          <t>ACHTUNG: Eigene Webseite spricht von 'línea de Croquetas SIN GLUTEN' und 'Sello FACE Restauración Sin Gluten' — das deutet auf MISCHBETRIEB mit GF-Linie, NICHT 100% GF! Klärungsbedarf — wahrscheinlich nicht für die App geeignet.</t>
        </is>
      </c>
      <c r="AV101" t="inlineStr">
        <is>
          <t>official_website</t>
        </is>
      </c>
      <c r="AW101" t="inlineStr">
        <is>
          <t>croquetarte.es — vermutlich KEIN 100% GF, sondern Mischbetrieb mit GF-Linie. Eventuell ablehnen.</t>
        </is>
      </c>
      <c r="AX101" t="inlineStr">
        <is>
          <t>2026-04-25</t>
        </is>
      </c>
      <c r="AY101" t="inlineStr">
        <is>
          <t>2026-04-25</t>
        </is>
      </c>
    </row>
    <row r="102" ht="80.09999999999999" customHeight="1">
      <c r="A102" t="inlineStr">
        <is>
          <t>es_ct_018</t>
        </is>
      </c>
      <c r="B102" t="inlineStr">
        <is>
          <t>Restaurante Manresa (Casco Antiguo)</t>
        </is>
      </c>
      <c r="C102" t="inlineStr">
        <is>
          <t>restaurante-manresa-casco-antiguo</t>
        </is>
      </c>
      <c r="D102" t="inlineStr">
        <is>
          <t>ES</t>
        </is>
      </c>
      <c r="E102" t="inlineStr">
        <is>
          <t>ES-CT</t>
        </is>
      </c>
      <c r="F102" t="inlineStr">
        <is>
          <t>Cataluña</t>
        </is>
      </c>
      <c r="G102" t="inlineStr">
        <is>
          <t>Barcelona</t>
        </is>
      </c>
      <c r="H102" t="inlineStr">
        <is>
          <t>Manresa</t>
        </is>
      </c>
      <c r="I102" t="inlineStr">
        <is>
          <t>Casco Antiguo</t>
        </is>
      </c>
      <c r="L102" t="n">
        <v>41.728894</v>
      </c>
      <c r="M102" t="n">
        <v>1.828677</v>
      </c>
      <c r="P102" t="inlineStr">
        <is>
          <t>restaurant</t>
        </is>
      </c>
      <c r="Q102" t="inlineStr">
        <is>
          <t>catalana, mediterranea</t>
        </is>
      </c>
      <c r="R102" t="inlineStr">
        <is>
          <t>€€</t>
        </is>
      </c>
      <c r="S102" t="inlineStr">
        <is>
          <t>lunch, dinner</t>
        </is>
      </c>
      <c r="T102" t="inlineStr">
        <is>
          <t>pending_verification</t>
        </is>
      </c>
      <c r="W102" t="b">
        <v>0</v>
      </c>
      <c r="X102" t="b">
        <v>0</v>
      </c>
      <c r="Y102" t="inlineStr">
        <is>
          <t>Celiacs Catalunya</t>
        </is>
      </c>
      <c r="AM102" t="b">
        <v>1</v>
      </c>
      <c r="AN102" t="b">
        <v>0</v>
      </c>
      <c r="AT102" t="inlineStr">
        <is>
          <t>ViajarSinGluten: 'Restaurante situado en el casco antiguo de Manresa. Productos locales, de temporada y ecológicos. Todos los platos de la carta no contienen gluten, a excepción de algún postre'. ACHTUNG: 'a excepción de algún postre' = NICHT 100% GF! Möglicherweise ablehnen oder klären.</t>
        </is>
      </c>
      <c r="AV102" t="inlineStr">
        <is>
          <t>blog_research</t>
        </is>
      </c>
      <c r="AW102" t="inlineStr">
        <is>
          <t>viajarsingluten.com — NICHT 100% GF (einige Desserts mit Gluten). Wahrscheinlich ablehnen.</t>
        </is>
      </c>
      <c r="AX102" t="inlineStr">
        <is>
          <t>2026-04-25</t>
        </is>
      </c>
      <c r="AY102" t="inlineStr">
        <is>
          <t>2026-04-25</t>
        </is>
      </c>
    </row>
    <row r="103" ht="80.09999999999999" customHeight="1">
      <c r="A103" t="inlineStr">
        <is>
          <t>es_pv_009</t>
        </is>
      </c>
      <c r="B103" t="inlineStr">
        <is>
          <t>Nebak</t>
        </is>
      </c>
      <c r="C103" t="inlineStr">
        <is>
          <t>nebak-bilbao</t>
        </is>
      </c>
      <c r="D103" t="inlineStr">
        <is>
          <t>ES</t>
        </is>
      </c>
      <c r="E103" t="inlineStr">
        <is>
          <t>ES-PV</t>
        </is>
      </c>
      <c r="F103" t="inlineStr">
        <is>
          <t>País Vasco / Euskadi</t>
        </is>
      </c>
      <c r="G103" t="inlineStr">
        <is>
          <t>Vizcaya</t>
        </is>
      </c>
      <c r="H103" t="inlineStr">
        <is>
          <t>Bilbao</t>
        </is>
      </c>
      <c r="I103" t="inlineStr">
        <is>
          <t>Casco Viejo</t>
        </is>
      </c>
      <c r="K103" t="inlineStr">
        <is>
          <t>Kale Barria, 4</t>
        </is>
      </c>
      <c r="L103" t="n">
        <v>43.258644</v>
      </c>
      <c r="M103" t="n">
        <v>-2.925368</v>
      </c>
      <c r="P103" t="inlineStr">
        <is>
          <t>restaurant</t>
        </is>
      </c>
      <c r="Q103" t="inlineStr">
        <is>
          <t>vasca, espanola</t>
        </is>
      </c>
      <c r="R103" t="inlineStr">
        <is>
          <t>€€</t>
        </is>
      </c>
      <c r="S103" t="inlineStr">
        <is>
          <t>lunch, dinner</t>
        </is>
      </c>
      <c r="T103" t="inlineStr">
        <is>
          <t>pending_verification</t>
        </is>
      </c>
      <c r="W103" t="b">
        <v>0</v>
      </c>
      <c r="X103" t="b">
        <v>0</v>
      </c>
      <c r="Y103" t="inlineStr">
        <is>
          <t>Celiacos Euskadi</t>
        </is>
      </c>
      <c r="AI103" t="inlineStr">
        <is>
          <t>100% glutenfreies Restaurant für traditionelle baskische Küche in Bilbaos Altstadt.</t>
        </is>
      </c>
      <c r="AJ103" t="inlineStr">
        <is>
          <t>100% gluten-free traditional Basque restaurant in Bilbao's Old Town.</t>
        </is>
      </c>
      <c r="AK103" t="inlineStr">
        <is>
          <t>Restaurante 100% sin gluten de cocina tradicional vasca en el Casco Viejo de Bilbao.</t>
        </is>
      </c>
      <c r="AM103" t="b">
        <v>1</v>
      </c>
      <c r="AN103" t="b">
        <v>0</v>
      </c>
      <c r="AT103" t="inlineStr">
        <is>
          <t>Celicidad-Kommentar: 'En Bilbao han abierto un restaurante NEBAK Kale barria, 4. 100% sin gluten. Cocina tradicional vasca'. Auch in trotamundossingluten als 'elegante restaurante recién abierto 100% sin gluten especializado en cocina tradicional vasca' beschrieben. PRÜFEN: aktueller Status, Kontaktdaten.</t>
        </is>
      </c>
      <c r="AV103" t="inlineStr">
        <is>
          <t>blog_research</t>
        </is>
      </c>
      <c r="AW103" t="inlineStr">
        <is>
          <t>celicidad.net Kommentar + trotamundossingluten.wordpress.com</t>
        </is>
      </c>
      <c r="AX103" t="inlineStr">
        <is>
          <t>2026-04-25</t>
        </is>
      </c>
      <c r="AY103" t="inlineStr">
        <is>
          <t>2026-04-25</t>
        </is>
      </c>
    </row>
    <row r="104" ht="80.09999999999999" customHeight="1">
      <c r="A104" t="inlineStr">
        <is>
          <t>es_as_012</t>
        </is>
      </c>
      <c r="B104" t="inlineStr">
        <is>
          <t>Sidrería Hoyu L'Agua</t>
        </is>
      </c>
      <c r="C104" t="inlineStr">
        <is>
          <t>sidreria-hoyu-lagua-llanes</t>
        </is>
      </c>
      <c r="D104" t="inlineStr">
        <is>
          <t>ES</t>
        </is>
      </c>
      <c r="E104" t="inlineStr">
        <is>
          <t>ES-AS</t>
        </is>
      </c>
      <c r="F104" t="inlineStr">
        <is>
          <t>Principado de Asturias</t>
        </is>
      </c>
      <c r="G104" t="inlineStr">
        <is>
          <t>Asturias</t>
        </is>
      </c>
      <c r="H104" t="inlineStr">
        <is>
          <t>Vidiago (Llanes)</t>
        </is>
      </c>
      <c r="K104" t="inlineStr">
        <is>
          <t>Puerta de Vidiago s/n</t>
        </is>
      </c>
      <c r="L104" t="n">
        <v>43.396627</v>
      </c>
      <c r="M104" t="n">
        <v>-4.67277</v>
      </c>
      <c r="P104" t="inlineStr">
        <is>
          <t>restaurant</t>
        </is>
      </c>
      <c r="Q104" t="inlineStr">
        <is>
          <t>asturiana, sidreria, espanola</t>
        </is>
      </c>
      <c r="R104" t="inlineStr">
        <is>
          <t>€€</t>
        </is>
      </c>
      <c r="S104" t="inlineStr">
        <is>
          <t>lunch, dinner</t>
        </is>
      </c>
      <c r="T104" t="inlineStr">
        <is>
          <t>pending_verification</t>
        </is>
      </c>
      <c r="W104" t="b">
        <v>0</v>
      </c>
      <c r="X104" t="b">
        <v>0</v>
      </c>
      <c r="Y104" t="inlineStr">
        <is>
          <t>ACEPA</t>
        </is>
      </c>
      <c r="AI104" t="inlineStr">
        <is>
          <t>100% glutenfreies Sidrería in Vidiago (Llanes), Ostasturien.</t>
        </is>
      </c>
      <c r="AJ104" t="inlineStr">
        <is>
          <t>100% gluten-free cider house in Vidiago (Llanes), eastern Asturias.</t>
        </is>
      </c>
      <c r="AK104" t="inlineStr">
        <is>
          <t>Sidrería 100% sin gluten en Vidiago (Llanes), Asturias oriental.</t>
        </is>
      </c>
      <c r="AM104" t="b">
        <v>1</v>
      </c>
      <c r="AN104" t="b">
        <v>0</v>
      </c>
      <c r="AT104" t="inlineStr">
        <is>
          <t>Celicidad: '100% sin gluten desde los entrantes a los postres, y unas valoraciones espectaculares por parte de los usuarios de Celicidad'. Östliches Asturien (Llanes). PRÜFEN.</t>
        </is>
      </c>
      <c r="AV104" t="inlineStr">
        <is>
          <t>blog_research</t>
        </is>
      </c>
      <c r="AW104" t="inlineStr">
        <is>
          <t>celicidad.net (Stand 04/2023)</t>
        </is>
      </c>
      <c r="AX104" t="inlineStr">
        <is>
          <t>2026-04-25</t>
        </is>
      </c>
      <c r="AY104" t="inlineStr">
        <is>
          <t>2026-04-25</t>
        </is>
      </c>
    </row>
    <row r="105" ht="80.09999999999999" customHeight="1">
      <c r="A105" t="inlineStr">
        <is>
          <t>es_an_012</t>
        </is>
      </c>
      <c r="B105" t="inlineStr">
        <is>
          <t>Aparicios Granada</t>
        </is>
      </c>
      <c r="C105" t="inlineStr">
        <is>
          <t>aparicios-granada</t>
        </is>
      </c>
      <c r="D105" t="inlineStr">
        <is>
          <t>ES</t>
        </is>
      </c>
      <c r="E105" t="inlineStr">
        <is>
          <t>ES-AN</t>
        </is>
      </c>
      <c r="F105" t="inlineStr">
        <is>
          <t>Andalucía</t>
        </is>
      </c>
      <c r="G105" t="inlineStr">
        <is>
          <t>Granada</t>
        </is>
      </c>
      <c r="H105" t="inlineStr">
        <is>
          <t>Granada</t>
        </is>
      </c>
      <c r="L105" t="n">
        <v>37.173499</v>
      </c>
      <c r="M105" t="n">
        <v>-3.599534</v>
      </c>
      <c r="P105" t="inlineStr">
        <is>
          <t>restaurant</t>
        </is>
      </c>
      <c r="Q105" t="inlineStr">
        <is>
          <t>andaluza, espanola</t>
        </is>
      </c>
      <c r="R105" t="inlineStr">
        <is>
          <t>€€</t>
        </is>
      </c>
      <c r="S105" t="inlineStr">
        <is>
          <t>lunch, dinner</t>
        </is>
      </c>
      <c r="T105" t="inlineStr">
        <is>
          <t>pending_verification</t>
        </is>
      </c>
      <c r="W105" t="b">
        <v>0</v>
      </c>
      <c r="X105" t="b">
        <v>0</v>
      </c>
      <c r="AI105" t="inlineStr">
        <is>
          <t>100% glutenfreies Restaurant in Granada.</t>
        </is>
      </c>
      <c r="AJ105" t="inlineStr">
        <is>
          <t>100% gluten-free restaurant in Granada.</t>
        </is>
      </c>
      <c r="AK105" t="inlineStr">
        <is>
          <t>Restaurante 100% sin gluten en Granada.</t>
        </is>
      </c>
      <c r="AM105" t="b">
        <v>1</v>
      </c>
      <c r="AN105" t="b">
        <v>0</v>
      </c>
      <c r="AT105" t="inlineStr">
        <is>
          <t>Celicidad-Kommentar: 'corroboro que tanto el Aparicios de Granada como La Pandichina y el Bar de las Artes en Murcia son 100% sin gluten'. PRÜFEN: Adresse, Telefon, aktuell.</t>
        </is>
      </c>
      <c r="AV105" t="inlineStr">
        <is>
          <t>community_submission</t>
        </is>
      </c>
      <c r="AW105" t="inlineStr">
        <is>
          <t>Kommentar in celicidad.net — User-Bestätigung, Quelle eher schwach. Verifizierung wichtig.</t>
        </is>
      </c>
      <c r="AX105" t="inlineStr">
        <is>
          <t>2026-04-25</t>
        </is>
      </c>
      <c r="AY105" t="inlineStr">
        <is>
          <t>2026-04-25</t>
        </is>
      </c>
    </row>
    <row r="106" ht="80.09999999999999" customHeight="1">
      <c r="A106" t="inlineStr">
        <is>
          <t>es_an_013</t>
        </is>
      </c>
      <c r="B106" t="inlineStr">
        <is>
          <t>El Cortijo Sin Gluten Granada</t>
        </is>
      </c>
      <c r="C106" t="inlineStr">
        <is>
          <t>el-cortijo-sin-gluten-granada</t>
        </is>
      </c>
      <c r="D106" t="inlineStr">
        <is>
          <t>ES</t>
        </is>
      </c>
      <c r="E106" t="inlineStr">
        <is>
          <t>ES-AN</t>
        </is>
      </c>
      <c r="F106" t="inlineStr">
        <is>
          <t>Andalucía</t>
        </is>
      </c>
      <c r="G106" t="inlineStr">
        <is>
          <t>Granada</t>
        </is>
      </c>
      <c r="H106" t="inlineStr">
        <is>
          <t>Granada</t>
        </is>
      </c>
      <c r="L106" t="n">
        <v>37.173499</v>
      </c>
      <c r="M106" t="n">
        <v>-3.599534</v>
      </c>
      <c r="P106" t="inlineStr">
        <is>
          <t>restaurant</t>
        </is>
      </c>
      <c r="Q106" t="inlineStr">
        <is>
          <t>andaluza, espanola</t>
        </is>
      </c>
      <c r="R106" t="inlineStr">
        <is>
          <t>€€</t>
        </is>
      </c>
      <c r="S106" t="inlineStr">
        <is>
          <t>lunch, dinner</t>
        </is>
      </c>
      <c r="T106" t="inlineStr">
        <is>
          <t>pending_verification</t>
        </is>
      </c>
      <c r="W106" t="b">
        <v>0</v>
      </c>
      <c r="X106" t="b">
        <v>0</v>
      </c>
      <c r="AI106" t="inlineStr">
        <is>
          <t>Glutenfreies Restaurant in Granada.</t>
        </is>
      </c>
      <c r="AJ106" t="inlineStr">
        <is>
          <t>Gluten-free restaurant in Granada.</t>
        </is>
      </c>
      <c r="AK106" t="inlineStr">
        <is>
          <t>Restaurante sin gluten en Granada.</t>
        </is>
      </c>
      <c r="AM106" t="b">
        <v>1</v>
      </c>
      <c r="AN106" t="b">
        <v>0</v>
      </c>
      <c r="AT106" t="inlineStr">
        <is>
          <t>Celicidad-Kommentar erwähnt 'En Granada tienes El Cortijo Sin [Gluten]'. Quelle: User-Kommentar. PRÜFEN: Adresse + Status.</t>
        </is>
      </c>
      <c r="AV106" t="inlineStr">
        <is>
          <t>community_submission</t>
        </is>
      </c>
      <c r="AW106" t="inlineStr">
        <is>
          <t>User-Kommentar in celicidad.net. Status sehr unsicher.</t>
        </is>
      </c>
      <c r="AX106" t="inlineStr">
        <is>
          <t>2026-04-25</t>
        </is>
      </c>
      <c r="AY106" t="inlineStr">
        <is>
          <t>2026-04-25</t>
        </is>
      </c>
    </row>
    <row r="107" ht="80.09999999999999" customHeight="1">
      <c r="A107" t="inlineStr">
        <is>
          <t>es_mc_001</t>
        </is>
      </c>
      <c r="B107" t="inlineStr">
        <is>
          <t>La Pandichina</t>
        </is>
      </c>
      <c r="C107" t="inlineStr">
        <is>
          <t>la-pandichina-murcia</t>
        </is>
      </c>
      <c r="D107" t="inlineStr">
        <is>
          <t>ES</t>
        </is>
      </c>
      <c r="E107" t="inlineStr">
        <is>
          <t>ES-MC</t>
        </is>
      </c>
      <c r="F107" t="inlineStr">
        <is>
          <t>Región de Murcia</t>
        </is>
      </c>
      <c r="G107" t="inlineStr">
        <is>
          <t>Murcia</t>
        </is>
      </c>
      <c r="H107" t="inlineStr">
        <is>
          <t>Murcia</t>
        </is>
      </c>
      <c r="L107" t="n">
        <v>37.934752</v>
      </c>
      <c r="M107" t="n">
        <v>-1.113103</v>
      </c>
      <c r="P107" t="inlineStr">
        <is>
          <t>restaurant</t>
        </is>
      </c>
      <c r="Q107" t="inlineStr">
        <is>
          <t>internacional, asiatica</t>
        </is>
      </c>
      <c r="R107" t="inlineStr">
        <is>
          <t>€€</t>
        </is>
      </c>
      <c r="S107" t="inlineStr">
        <is>
          <t>lunch, dinner</t>
        </is>
      </c>
      <c r="T107" t="inlineStr">
        <is>
          <t>pending_verification</t>
        </is>
      </c>
      <c r="W107" t="b">
        <v>0</v>
      </c>
      <c r="X107" t="b">
        <v>0</v>
      </c>
      <c r="AI107" t="inlineStr">
        <is>
          <t>100% glutenfreies Restaurant in Murcia.</t>
        </is>
      </c>
      <c r="AJ107" t="inlineStr">
        <is>
          <t>100% gluten-free restaurant in Murcia.</t>
        </is>
      </c>
      <c r="AK107" t="inlineStr">
        <is>
          <t>Restaurante 100% sin gluten en Murcia.</t>
        </is>
      </c>
      <c r="AM107" t="b">
        <v>1</v>
      </c>
      <c r="AN107" t="b">
        <v>0</v>
      </c>
      <c r="AT107" t="inlineStr">
        <is>
          <t>Celicidad-Kommentar: 'La Pandichina y el Bar de las Artes en Murcia son 100% sin gluten'. PRÜFEN: Adresse + aktueller Status.</t>
        </is>
      </c>
      <c r="AV107" t="inlineStr">
        <is>
          <t>community_submission</t>
        </is>
      </c>
      <c r="AW107" t="inlineStr">
        <is>
          <t>Kommentar in celicidad.net (User-Bestätigung)</t>
        </is>
      </c>
      <c r="AX107" t="inlineStr">
        <is>
          <t>2026-04-25</t>
        </is>
      </c>
      <c r="AY107" t="inlineStr">
        <is>
          <t>2026-04-25</t>
        </is>
      </c>
    </row>
    <row r="108" ht="80.09999999999999" customHeight="1">
      <c r="A108" t="inlineStr">
        <is>
          <t>es_mc_002</t>
        </is>
      </c>
      <c r="B108" t="inlineStr">
        <is>
          <t>Bar de las Artes</t>
        </is>
      </c>
      <c r="C108" t="inlineStr">
        <is>
          <t>bar-de-las-artes-murcia</t>
        </is>
      </c>
      <c r="D108" t="inlineStr">
        <is>
          <t>ES</t>
        </is>
      </c>
      <c r="E108" t="inlineStr">
        <is>
          <t>ES-MC</t>
        </is>
      </c>
      <c r="F108" t="inlineStr">
        <is>
          <t>Región de Murcia</t>
        </is>
      </c>
      <c r="G108" t="inlineStr">
        <is>
          <t>Murcia</t>
        </is>
      </c>
      <c r="H108" t="inlineStr">
        <is>
          <t>Murcia</t>
        </is>
      </c>
      <c r="L108" t="n">
        <v>37.934752</v>
      </c>
      <c r="M108" t="n">
        <v>-1.113103</v>
      </c>
      <c r="P108" t="inlineStr">
        <is>
          <t>bar_tapas</t>
        </is>
      </c>
      <c r="Q108" t="inlineStr">
        <is>
          <t>espanola, tapas</t>
        </is>
      </c>
      <c r="R108" t="inlineStr">
        <is>
          <t>€€</t>
        </is>
      </c>
      <c r="S108" t="inlineStr">
        <is>
          <t>lunch, dinner, snacks</t>
        </is>
      </c>
      <c r="T108" t="inlineStr">
        <is>
          <t>pending_verification</t>
        </is>
      </c>
      <c r="W108" t="b">
        <v>0</v>
      </c>
      <c r="X108" t="b">
        <v>0</v>
      </c>
      <c r="AI108" t="inlineStr">
        <is>
          <t>100% glutenfreie Bar in Murcia.</t>
        </is>
      </c>
      <c r="AJ108" t="inlineStr">
        <is>
          <t>100% gluten-free bar in Murcia.</t>
        </is>
      </c>
      <c r="AK108" t="inlineStr">
        <is>
          <t>Bar 100% sin gluten en Murcia.</t>
        </is>
      </c>
      <c r="AM108" t="b">
        <v>1</v>
      </c>
      <c r="AN108" t="b">
        <v>0</v>
      </c>
      <c r="AT108" t="inlineStr">
        <is>
          <t>Celicidad-Kommentar bestätigt: '100% sin gluten' in Murcia. PRÜFEN: Adresse + aktueller Status.</t>
        </is>
      </c>
      <c r="AV108" t="inlineStr">
        <is>
          <t>community_submission</t>
        </is>
      </c>
      <c r="AW108" t="inlineStr">
        <is>
          <t>Kommentar in celicidad.net</t>
        </is>
      </c>
      <c r="AX108" t="inlineStr">
        <is>
          <t>2026-04-25</t>
        </is>
      </c>
      <c r="AY108" t="inlineStr">
        <is>
          <t>2026-04-25</t>
        </is>
      </c>
    </row>
  </sheetData>
  <dataValidations count="6">
    <dataValidation sqref="R2:R1000" showDropDown="0" showInputMessage="0" showErrorMessage="0" allowBlank="1" errorTitle="Ungültiger Status" error="Bitte einen gültigen Status wählen." type="list">
      <formula1>"pending_verification,in_verification,verified,rejected,closed_permanently"</formula1>
    </dataValidation>
    <dataValidation sqref="X2:X1000 Y2:Y1000" showDropDown="0" showInputMessage="0" showErrorMessage="0" allowBlank="1" type="list">
      <formula1>"TRUE,FALSE"</formula1>
    </dataValidation>
    <dataValidation sqref="D2:D1000" showDropDown="0" showInputMessage="0" showErrorMessage="0" allowBlank="1" type="list">
      <formula1>"ES,PT,IT,FR,DE,AT,CH,GB,IE,NL,BE,DK,SE,NO,FI,PL,CZ"</formula1>
    </dataValidation>
    <dataValidation sqref="P2:P1000" showDropDown="0" showInputMessage="0" showErrorMessage="0" allowBlank="1" type="list">
      <formula1>"€,€€,€€€,€€€€"</formula1>
    </dataValidation>
    <dataValidation sqref="N2:N1000" showDropDown="0" showInputMessage="0" showErrorMessage="0" allowBlank="1" type="list">
      <formula1>"restaurant,cafe,bakery,pastry_shop,ice_cream,pizzeria,bar_tapas,fast_food,hotel_restaurant,food_truck,catering,brunch_place,burger_joint,asian_restaurant"</formula1>
    </dataValidation>
    <dataValidation sqref="E2:E1000" showDropDown="0" showInputMessage="0" showErrorMessage="0" allowBlank="1" type="list">
      <formula1>"ES-AN,ES-AR,ES-AS,ES-CN,ES-CB,ES-CL,ES-CM,ES-CT,ES-EX,ES-GA,ES-IB,ES-RI,ES-MD,ES-MC,ES-NC,ES-PV,ES-VC,ES-CE,ES-ML"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6"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51" customHeight="1">
      <c r="A2" s="5" t="inlineStr">
        <is>
          <t>dlv_001</t>
        </is>
      </c>
      <c r="B2" s="5" t="inlineStr">
        <is>
          <t>es_md_001</t>
        </is>
      </c>
      <c r="C2" s="5" t="inlineStr">
        <is>
          <t>As de Bastos</t>
        </is>
      </c>
      <c r="D2" s="5" t="inlineStr">
        <is>
          <t>glovo</t>
        </is>
      </c>
      <c r="E2" s="5" t="inlineStr">
        <is>
          <t>https://glovoapp.com/es/search?query=As%20de%20Bastos%20Madrid</t>
        </is>
      </c>
      <c r="F2" s="5" t="b">
        <v>1</v>
      </c>
      <c r="G2" s="5" t="inlineStr">
        <is>
          <t>2026-04-25</t>
        </is>
      </c>
      <c r="H2" s="5" t="inlineStr">
        <is>
          <t>ACSG-Verzeichnis nennt 'A domicilio' — Glovo wahrscheinlich. URL bei Bestellung beim Restaurant erfragen oder über Glovo-App suchen.</t>
        </is>
      </c>
    </row>
    <row r="3" ht="25.5" customHeight="1">
      <c r="A3" s="5" t="inlineStr">
        <is>
          <t>dlv_002</t>
        </is>
      </c>
      <c r="B3" s="5" t="inlineStr">
        <is>
          <t>es_md_002</t>
        </is>
      </c>
      <c r="C3" s="5" t="inlineStr">
        <is>
          <t>As de Bastos Majadahonda</t>
        </is>
      </c>
      <c r="D3" s="5" t="inlineStr">
        <is>
          <t>glovo</t>
        </is>
      </c>
      <c r="E3" s="5" t="inlineStr">
        <is>
          <t>https://glovoapp.com/es/search?query=As%20de%20Bastos%20Majadahonda%20Majadahonda</t>
        </is>
      </c>
      <c r="F3" s="5" t="b">
        <v>1</v>
      </c>
      <c r="G3" s="5" t="inlineStr">
        <is>
          <t>2026-04-25</t>
        </is>
      </c>
      <c r="H3" s="5" t="inlineStr">
        <is>
          <t>ACSG: 'A domicilio'. URL prüfen über Glovo-App oder Restaurant-Webseite.</t>
        </is>
      </c>
    </row>
    <row r="4" ht="25.5" customHeight="1">
      <c r="A4" s="5" t="inlineStr">
        <is>
          <t>dlv_003</t>
        </is>
      </c>
      <c r="B4" s="5" t="inlineStr">
        <is>
          <t>es_md_006</t>
        </is>
      </c>
      <c r="C4" s="5" t="inlineStr">
        <is>
          <t>Pizza Natura (Chamberí)</t>
        </is>
      </c>
      <c r="D4" s="5" t="inlineStr">
        <is>
          <t>glovo</t>
        </is>
      </c>
      <c r="E4" s="5" t="inlineStr">
        <is>
          <t>https://glovoapp.com/es/search?query=Pizza%20Natura%20%28Chamber%C3%AD%29%20Madrid</t>
        </is>
      </c>
      <c r="F4" s="5" t="b">
        <v>1</v>
      </c>
      <c r="G4" s="5" t="inlineStr">
        <is>
          <t>2026-04-25</t>
        </is>
      </c>
      <c r="H4" s="5" t="inlineStr">
        <is>
          <t>Time Out Madrid erwähnt Lieferung. Konkrete Glovo-URL prüfen.</t>
        </is>
      </c>
    </row>
    <row r="5" ht="25.5" customHeight="1">
      <c r="A5" s="5" t="inlineStr">
        <is>
          <t>dlv_004</t>
        </is>
      </c>
      <c r="B5" s="5" t="inlineStr">
        <is>
          <t>es_md_006</t>
        </is>
      </c>
      <c r="C5" s="5" t="inlineStr">
        <is>
          <t>Pizza Natura (Chamberí)</t>
        </is>
      </c>
      <c r="D5" s="5" t="inlineStr">
        <is>
          <t>uber_eats</t>
        </is>
      </c>
      <c r="E5" s="5" t="inlineStr">
        <is>
          <t>https://www.ubereats.com/es/search?q=Pizza%20Natura%20%28Chamber%C3%AD%29%20Madrid</t>
        </is>
      </c>
      <c r="F5" s="5" t="b">
        <v>1</v>
      </c>
      <c r="G5" s="5" t="inlineStr">
        <is>
          <t>2026-04-25</t>
        </is>
      </c>
      <c r="H5" s="5" t="inlineStr">
        <is>
          <t>Möglicherweise auch über Uber Eats — prüfen.</t>
        </is>
      </c>
    </row>
    <row r="6">
      <c r="A6" s="5" t="inlineStr">
        <is>
          <t>dlv_005</t>
        </is>
      </c>
      <c r="B6" s="5" t="inlineStr">
        <is>
          <t>es_md_009</t>
        </is>
      </c>
      <c r="C6" s="5" t="inlineStr">
        <is>
          <t>Celicioso Huertas</t>
        </is>
      </c>
      <c r="D6" s="5" t="inlineStr">
        <is>
          <t>own_delivery</t>
        </is>
      </c>
      <c r="E6" s="5" t="inlineStr">
        <is>
          <t>https://celicioso.shop</t>
        </is>
      </c>
      <c r="F6" s="5" t="b">
        <v>1</v>
      </c>
      <c r="G6" s="5" t="inlineStr">
        <is>
          <t>2026-04-25</t>
        </is>
      </c>
      <c r="H6" s="5" t="inlineStr">
        <is>
          <t>Eigene Webseite/Shop für Lieferung.</t>
        </is>
      </c>
    </row>
    <row r="7">
      <c r="A7" s="5" t="inlineStr">
        <is>
          <t>dlv_006</t>
        </is>
      </c>
      <c r="B7" s="5" t="inlineStr">
        <is>
          <t>es_md_010</t>
        </is>
      </c>
      <c r="C7" s="5" t="inlineStr">
        <is>
          <t>Celicioso Barquillo</t>
        </is>
      </c>
      <c r="D7" s="5" t="inlineStr">
        <is>
          <t>own_delivery</t>
        </is>
      </c>
      <c r="E7" s="5" t="inlineStr">
        <is>
          <t>https://celicioso.shop</t>
        </is>
      </c>
      <c r="F7" s="5" t="b">
        <v>1</v>
      </c>
      <c r="G7" s="5" t="inlineStr">
        <is>
          <t>2026-04-25</t>
        </is>
      </c>
      <c r="H7" s="5" t="inlineStr">
        <is>
          <t>Eigene Webseite/Shop für Lieferung.</t>
        </is>
      </c>
    </row>
    <row r="8" ht="38.25" customHeight="1">
      <c r="A8" s="5" t="inlineStr">
        <is>
          <t>dlv_007</t>
        </is>
      </c>
      <c r="B8" s="5" t="inlineStr">
        <is>
          <t>es_pv_004</t>
        </is>
      </c>
      <c r="C8" s="5" t="inlineStr">
        <is>
          <t>New York Diner Bilbao</t>
        </is>
      </c>
      <c r="D8" s="5" t="inlineStr">
        <is>
          <t>own_delivery</t>
        </is>
      </c>
      <c r="E8" s="5" t="n"/>
      <c r="F8" s="5" t="b">
        <v>1</v>
      </c>
      <c r="G8" s="5" t="inlineStr">
        <is>
          <t>2026-04-25</t>
        </is>
      </c>
      <c r="H8" s="5" t="inlineStr">
        <is>
          <t>Celiaquita: 'puedes hacer pedido desde su web, de comida sin gluten a domicilio'. Eigene Webseite-Lieferung.</t>
        </is>
      </c>
    </row>
    <row r="9" ht="25.5" customHeight="1">
      <c r="A9" s="5" t="inlineStr">
        <is>
          <t>dlv_008</t>
        </is>
      </c>
      <c r="B9" s="5" t="inlineStr">
        <is>
          <t>es_ga_001</t>
        </is>
      </c>
      <c r="C9" s="5" t="inlineStr">
        <is>
          <t>Alium Vigo</t>
        </is>
      </c>
      <c r="D9" s="5" t="inlineStr">
        <is>
          <t>own_delivery</t>
        </is>
      </c>
      <c r="E9" s="5" t="inlineStr">
        <is>
          <t>https://aliumglutenfree.com</t>
        </is>
      </c>
      <c r="F9" s="5" t="b">
        <v>1</v>
      </c>
      <c r="G9" s="5" t="inlineStr">
        <is>
          <t>2026-04-25</t>
        </is>
      </c>
      <c r="H9" s="5" t="inlineStr">
        <is>
          <t>Eigene Lieferung 4€ via WhatsApp +34697883367.</t>
        </is>
      </c>
    </row>
    <row r="10" ht="25.5" customHeight="1">
      <c r="A10" s="5" t="inlineStr">
        <is>
          <t>dlv_009</t>
        </is>
      </c>
      <c r="B10" s="5" t="inlineStr">
        <is>
          <t>es_vc_001</t>
        </is>
      </c>
      <c r="C10" s="5" t="inlineStr">
        <is>
          <t>El Miracle</t>
        </is>
      </c>
      <c r="D10" s="5" t="inlineStr">
        <is>
          <t>own_delivery</t>
        </is>
      </c>
      <c r="E10" s="5" t="inlineStr">
        <is>
          <t>https://miraclerestaurante.es</t>
        </is>
      </c>
      <c r="F10" s="5" t="b">
        <v>1</v>
      </c>
      <c r="G10" s="5" t="inlineStr">
        <is>
          <t>2026-04-25</t>
        </is>
      </c>
      <c r="H10" s="5" t="inlineStr">
        <is>
          <t>Eigene Tienda über Webseite. Lieferung über eigene Webseite.</t>
        </is>
      </c>
    </row>
    <row r="11" ht="38.25" customHeight="1">
      <c r="A11" s="5" t="inlineStr">
        <is>
          <t>dlv_010</t>
        </is>
      </c>
      <c r="B11" s="5" t="inlineStr">
        <is>
          <t>es_an_004</t>
        </is>
      </c>
      <c r="C11" s="5" t="inlineStr">
        <is>
          <t>Grosso Senza Glutine Sevilla</t>
        </is>
      </c>
      <c r="D11" s="5" t="inlineStr">
        <is>
          <t>glovo</t>
        </is>
      </c>
      <c r="E11" s="5" t="inlineStr">
        <is>
          <t>https://glovoapp.com/es/search?query=Grosso%20Senza%20Glutine%20Sevilla%20Sevilla</t>
        </is>
      </c>
      <c r="F11" s="5" t="b">
        <v>1</v>
      </c>
      <c r="G11" s="5" t="inlineStr">
        <is>
          <t>2026-04-25</t>
        </is>
      </c>
      <c r="H11" s="5" t="inlineStr">
        <is>
          <t>Celiaquita: 'servicio take away y delivery a través de Glovo'. URL über Glovo-App suchen mit Postleitzahl 41002 + Begriff 'Grosso'.</t>
        </is>
      </c>
    </row>
    <row r="12" ht="38.25" customHeight="1">
      <c r="A12" s="5" t="inlineStr">
        <is>
          <t>dlv_011</t>
        </is>
      </c>
      <c r="B12" s="5" t="inlineStr">
        <is>
          <t>es_ib_001</t>
        </is>
      </c>
      <c r="C12" s="5" t="inlineStr">
        <is>
          <t>Avocado Mallorca</t>
        </is>
      </c>
      <c r="D12" s="5" t="inlineStr">
        <is>
          <t>own_delivery</t>
        </is>
      </c>
      <c r="E12" s="5" t="inlineStr">
        <is>
          <t>https://www.avocadomallorca.com</t>
        </is>
      </c>
      <c r="F12" s="5" t="b">
        <v>1</v>
      </c>
      <c r="G12" s="5" t="inlineStr">
        <is>
          <t>2026-04-25</t>
        </is>
      </c>
      <c r="H12" s="5" t="inlineStr">
        <is>
          <t>Webseiten-Beschreibung: 'empresa de comida sana y fresca con un servicio de delivery sano y sin gluten en Palma'. Eigene Lieferung.</t>
        </is>
      </c>
    </row>
    <row r="13">
      <c r="A13" s="5" t="inlineStr">
        <is>
          <t>dlv_012</t>
        </is>
      </c>
      <c r="B13" s="5" t="inlineStr">
        <is>
          <t>es_md_017</t>
        </is>
      </c>
      <c r="C13" s="5" t="inlineStr">
        <is>
          <t>Alter Café</t>
        </is>
      </c>
      <c r="D13" s="5" t="inlineStr">
        <is>
          <t>no_delivery</t>
        </is>
      </c>
      <c r="E13" s="5" t="n"/>
      <c r="F13" s="5" t="b">
        <v>0</v>
      </c>
      <c r="G13" s="5" t="inlineStr">
        <is>
          <t>2026-04-25</t>
        </is>
      </c>
      <c r="H13" s="5" t="inlineStr">
        <is>
          <t>Klein, vermutlich kein Lieferservice. PRÜFEN.</t>
        </is>
      </c>
    </row>
  </sheetData>
  <dataValidations count="2">
    <dataValidation sqref="D2:D1000" showDropDown="0" showInputMessage="0" showErrorMessage="0" allowBlank="1" type="list">
      <formula1>"glovo,just_eat,uber_eats,wolt,lieferando,foodora,deliveroo,takeaway,bolt_food,own_delivery,no_delivery"</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8"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25.5" customHeight="1">
      <c r="A2" s="5" t="inlineStr">
        <is>
          <t>rsv_001</t>
        </is>
      </c>
      <c r="B2" s="5" t="inlineStr">
        <is>
          <t>es_vc_001</t>
        </is>
      </c>
      <c r="C2" s="5" t="inlineStr">
        <is>
          <t>El Miracle</t>
        </is>
      </c>
      <c r="D2" s="5" t="inlineStr">
        <is>
          <t>own_website</t>
        </is>
      </c>
      <c r="E2" s="5" t="inlineStr">
        <is>
          <t>https://miraclerestaurante.es</t>
        </is>
      </c>
      <c r="F2" s="5" t="b">
        <v>1</v>
      </c>
      <c r="G2" s="5" t="inlineStr">
        <is>
          <t>2026-04-25</t>
        </is>
      </c>
      <c r="H2" s="5" t="inlineStr">
        <is>
          <t>Eigene Reservierungsseite — bevorzugter Kanal lt. Quellen.</t>
        </is>
      </c>
    </row>
    <row r="3" ht="38.25" customHeight="1">
      <c r="A3" s="5" t="inlineStr">
        <is>
          <t>rsv_002</t>
        </is>
      </c>
      <c r="B3" s="5" t="inlineStr">
        <is>
          <t>es_ib_001</t>
        </is>
      </c>
      <c r="C3" s="5" t="inlineStr">
        <is>
          <t>Avocado Mallorca</t>
        </is>
      </c>
      <c r="D3" s="5" t="inlineStr">
        <is>
          <t>own_website</t>
        </is>
      </c>
      <c r="E3" s="5" t="inlineStr">
        <is>
          <t>https://www.avocadomallorca.com</t>
        </is>
      </c>
      <c r="F3" s="5" t="b">
        <v>1</v>
      </c>
      <c r="G3" s="5" t="inlineStr">
        <is>
          <t>2026-04-25</t>
        </is>
      </c>
      <c r="H3" s="5" t="inlineStr">
        <is>
          <t>Reservierung via restaurantlogin.com System (verlinkt von Facebook-Seite). PRÜFEN: konkrete URL.</t>
        </is>
      </c>
    </row>
    <row r="4" ht="38.25" customHeight="1">
      <c r="A4" s="5" t="inlineStr">
        <is>
          <t>rsv_003</t>
        </is>
      </c>
      <c r="B4" s="5" t="inlineStr">
        <is>
          <t>es_ib_002</t>
        </is>
      </c>
      <c r="C4" s="5" t="inlineStr">
        <is>
          <t>Bolixe</t>
        </is>
      </c>
      <c r="D4" s="5" t="inlineStr">
        <is>
          <t>own_website</t>
        </is>
      </c>
      <c r="E4" s="5" t="inlineStr">
        <is>
          <t>https://www.bolixe.com</t>
        </is>
      </c>
      <c r="F4" s="5" t="b">
        <v>1</v>
      </c>
      <c r="G4" s="5" t="inlineStr">
        <is>
          <t>2026-04-25</t>
        </is>
      </c>
      <c r="H4" s="5" t="inlineStr">
        <is>
          <t>Reservierung über reservas@bolixe.com (lt. ACSG-Verzeichnis) oder Telefon +34871949447.</t>
        </is>
      </c>
    </row>
    <row r="5" ht="25.5" customHeight="1">
      <c r="A5" s="5" t="inlineStr">
        <is>
          <t>rsv_004</t>
        </is>
      </c>
      <c r="B5" s="5" t="inlineStr">
        <is>
          <t>es_md_001</t>
        </is>
      </c>
      <c r="C5" s="5" t="inlineStr">
        <is>
          <t>As de Bastos</t>
        </is>
      </c>
      <c r="D5" s="5" t="inlineStr">
        <is>
          <t>thefork</t>
        </is>
      </c>
      <c r="E5" s="5" t="inlineStr">
        <is>
          <t>https://www.thefork.es/restaurant/as-de-bastos-madrid</t>
        </is>
      </c>
      <c r="F5" s="5" t="b">
        <v>1</v>
      </c>
      <c r="G5" s="5" t="inlineStr">
        <is>
          <t>2026-04-25</t>
        </is>
      </c>
      <c r="H5" s="5" t="inlineStr">
        <is>
          <t>PRÜFEN: thefork-URL über thefork.es suchen mit Name + Madrid.</t>
        </is>
      </c>
    </row>
    <row r="6">
      <c r="A6" s="5" t="inlineStr">
        <is>
          <t>rsv_005</t>
        </is>
      </c>
      <c r="B6" s="5" t="inlineStr">
        <is>
          <t>es_md_001</t>
        </is>
      </c>
      <c r="C6" s="5" t="inlineStr">
        <is>
          <t>As de Bastos</t>
        </is>
      </c>
      <c r="D6" s="5" t="inlineStr">
        <is>
          <t>phone_only</t>
        </is>
      </c>
      <c r="E6" s="5" t="n"/>
      <c r="F6" s="5" t="b">
        <v>1</v>
      </c>
      <c r="G6" s="5" t="inlineStr">
        <is>
          <t>2026-04-25</t>
        </is>
      </c>
      <c r="H6" s="5" t="inlineStr">
        <is>
          <t>Telefonisch +34917957855.</t>
        </is>
      </c>
    </row>
    <row r="7" ht="38.25" customHeight="1">
      <c r="A7" s="5" t="inlineStr">
        <is>
          <t>rsv_006</t>
        </is>
      </c>
      <c r="B7" s="5" t="inlineStr">
        <is>
          <t>es_md_005</t>
        </is>
      </c>
      <c r="C7" s="5" t="inlineStr">
        <is>
          <t>Okashi Sanda</t>
        </is>
      </c>
      <c r="D7" s="5" t="inlineStr">
        <is>
          <t>thefork</t>
        </is>
      </c>
      <c r="E7" s="5" t="inlineStr">
        <is>
          <t>https://www.thefork.es/restaurant/okashi-sanda-madrid</t>
        </is>
      </c>
      <c r="F7" s="5" t="b">
        <v>1</v>
      </c>
      <c r="G7" s="5" t="inlineStr">
        <is>
          <t>2026-04-25</t>
        </is>
      </c>
      <c r="H7" s="5" t="inlineStr">
        <is>
          <t>TheFork erwähnt es nicht explizit, aber als populäres Lokal in Madrid sehr wahrscheinlich gelistet. PRÜFEN.</t>
        </is>
      </c>
    </row>
    <row r="8" ht="25.5" customHeight="1">
      <c r="A8" s="5" t="inlineStr">
        <is>
          <t>rsv_007</t>
        </is>
      </c>
      <c r="B8" s="5" t="inlineStr">
        <is>
          <t>es_ct_001</t>
        </is>
      </c>
      <c r="C8" s="5" t="inlineStr">
        <is>
          <t>En Ville Restaurant</t>
        </is>
      </c>
      <c r="D8" s="5" t="inlineStr">
        <is>
          <t>own_website</t>
        </is>
      </c>
      <c r="E8" s="5" t="inlineStr">
        <is>
          <t>https://www.envillebarcelona.es</t>
        </is>
      </c>
      <c r="F8" s="5" t="b">
        <v>1</v>
      </c>
      <c r="G8" s="5" t="inlineStr">
        <is>
          <t>2026-04-25</t>
        </is>
      </c>
      <c r="H8" s="5" t="inlineStr">
        <is>
          <t>Reservierung über eigene Webseite ('Make your reservation' lt. Webseite).</t>
        </is>
      </c>
    </row>
    <row r="9" ht="25.5" customHeight="1">
      <c r="A9" s="5" t="inlineStr">
        <is>
          <t>rsv_008</t>
        </is>
      </c>
      <c r="B9" s="5" t="inlineStr">
        <is>
          <t>es_ga_001</t>
        </is>
      </c>
      <c r="C9" s="5" t="inlineStr">
        <is>
          <t>Alium Vigo</t>
        </is>
      </c>
      <c r="D9" s="5" t="inlineStr">
        <is>
          <t>phone_only</t>
        </is>
      </c>
      <c r="E9" s="5" t="n"/>
      <c r="F9" s="5" t="b">
        <v>1</v>
      </c>
      <c r="G9" s="5" t="inlineStr">
        <is>
          <t>2026-04-25</t>
        </is>
      </c>
      <c r="H9" s="5" t="inlineStr">
        <is>
          <t>Telefon/WhatsApp +34697883367. Eigene Webseite empfiehlt direkten Kontakt.</t>
        </is>
      </c>
    </row>
    <row r="10" ht="25.5" customHeight="1">
      <c r="A10" s="5" t="inlineStr">
        <is>
          <t>rsv_009</t>
        </is>
      </c>
      <c r="B10" s="5" t="inlineStr">
        <is>
          <t>es_as_001</t>
        </is>
      </c>
      <c r="C10" s="5" t="inlineStr">
        <is>
          <t>El Fartuquín</t>
        </is>
      </c>
      <c r="D10" s="5" t="inlineStr">
        <is>
          <t>own_website</t>
        </is>
      </c>
      <c r="E10" s="5" t="inlineStr">
        <is>
          <t>https://www.restauranteelfartuquin.es</t>
        </is>
      </c>
      <c r="F10" s="5" t="b">
        <v>1</v>
      </c>
      <c r="G10" s="5" t="inlineStr">
        <is>
          <t>2026-04-25</t>
        </is>
      </c>
      <c r="H10" s="5" t="inlineStr">
        <is>
          <t>Reservierung über eigene Webseite oder Telefon +34985229971.</t>
        </is>
      </c>
    </row>
    <row r="11">
      <c r="A11" s="5" t="inlineStr">
        <is>
          <t>rsv_010</t>
        </is>
      </c>
      <c r="B11" s="5" t="inlineStr">
        <is>
          <t>es_as_002</t>
        </is>
      </c>
      <c r="C11" s="5" t="inlineStr">
        <is>
          <t>El Bucanero</t>
        </is>
      </c>
      <c r="D11" s="5" t="inlineStr">
        <is>
          <t>own_website</t>
        </is>
      </c>
      <c r="E11" s="5" t="inlineStr">
        <is>
          <t>https://elbucanero.es</t>
        </is>
      </c>
      <c r="F11" s="5" t="b">
        <v>1</v>
      </c>
      <c r="G11" s="5" t="inlineStr">
        <is>
          <t>2026-04-25</t>
        </is>
      </c>
      <c r="H11" s="5" t="inlineStr">
        <is>
          <t>Reservierung über eigene Webseite.</t>
        </is>
      </c>
    </row>
    <row r="12" ht="25.5" customHeight="1">
      <c r="A12" s="5" t="inlineStr">
        <is>
          <t>rsv_011</t>
        </is>
      </c>
      <c r="B12" s="5" t="inlineStr">
        <is>
          <t>es_as_003</t>
        </is>
      </c>
      <c r="C12" s="5" t="inlineStr">
        <is>
          <t>Sidra Quelo</t>
        </is>
      </c>
      <c r="D12" s="5" t="inlineStr">
        <is>
          <t>own_website</t>
        </is>
      </c>
      <c r="E12" s="5" t="inlineStr">
        <is>
          <t>https://sidraquelo.com</t>
        </is>
      </c>
      <c r="F12" s="5" t="b">
        <v>1</v>
      </c>
      <c r="G12" s="5" t="inlineStr">
        <is>
          <t>2026-04-25</t>
        </is>
      </c>
      <c r="H12" s="5" t="inlineStr">
        <is>
          <t>Reservierung über eigene Webseite oder Telefon +34985792932.</t>
        </is>
      </c>
    </row>
    <row r="13">
      <c r="A13" s="5" t="inlineStr">
        <is>
          <t>rsv_012</t>
        </is>
      </c>
      <c r="B13" s="5" t="inlineStr">
        <is>
          <t>es_md_009</t>
        </is>
      </c>
      <c r="C13" s="5" t="inlineStr">
        <is>
          <t>Celicioso Huertas</t>
        </is>
      </c>
      <c r="D13" s="5" t="inlineStr">
        <is>
          <t>phone_only</t>
        </is>
      </c>
      <c r="E13" s="5" t="n"/>
      <c r="F13" s="5" t="b">
        <v>1</v>
      </c>
      <c r="G13" s="5" t="inlineStr">
        <is>
          <t>2026-04-25</t>
        </is>
      </c>
      <c r="H13" s="5" t="inlineStr">
        <is>
          <t>Telefon +34697828235.</t>
        </is>
      </c>
    </row>
    <row r="14">
      <c r="A14" s="5" t="inlineStr">
        <is>
          <t>rsv_013</t>
        </is>
      </c>
      <c r="B14" s="5" t="inlineStr">
        <is>
          <t>es_md_008</t>
        </is>
      </c>
      <c r="C14" s="5" t="inlineStr">
        <is>
          <t>Ardemos Burger</t>
        </is>
      </c>
      <c r="D14" s="5" t="inlineStr">
        <is>
          <t>phone_only</t>
        </is>
      </c>
      <c r="E14" s="5" t="n"/>
      <c r="F14" s="5" t="b">
        <v>1</v>
      </c>
      <c r="G14" s="5" t="inlineStr">
        <is>
          <t>2026-04-25</t>
        </is>
      </c>
      <c r="H14" s="5" t="inlineStr">
        <is>
          <t>Telefon +34914916030.</t>
        </is>
      </c>
    </row>
    <row r="15">
      <c r="A15" s="5" t="inlineStr">
        <is>
          <t>rsv_014</t>
        </is>
      </c>
      <c r="B15" s="5" t="inlineStr">
        <is>
          <t>es_md_015</t>
        </is>
      </c>
      <c r="C15" s="5" t="inlineStr">
        <is>
          <t>Los Carnales</t>
        </is>
      </c>
      <c r="D15" s="5" t="inlineStr">
        <is>
          <t>thefork</t>
        </is>
      </c>
      <c r="E15" s="5" t="inlineStr">
        <is>
          <t>https://www.thefork.es/restaurant/los-carnales-madrid</t>
        </is>
      </c>
      <c r="F15" s="5" t="b">
        <v>1</v>
      </c>
      <c r="G15" s="5" t="inlineStr">
        <is>
          <t>2026-04-25</t>
        </is>
      </c>
      <c r="H15" s="5" t="inlineStr">
        <is>
          <t>PRÜFEN: thefork-Listung.</t>
        </is>
      </c>
    </row>
    <row r="16" ht="25.5" customHeight="1">
      <c r="A16" s="5" t="inlineStr">
        <is>
          <t>rsv_015</t>
        </is>
      </c>
      <c r="B16" s="5" t="inlineStr">
        <is>
          <t>es_ct_002</t>
        </is>
      </c>
      <c r="C16" s="5" t="inlineStr">
        <is>
          <t>Messié Sin Gluten</t>
        </is>
      </c>
      <c r="D16" s="5" t="inlineStr">
        <is>
          <t>thefork</t>
        </is>
      </c>
      <c r="E16" s="5" t="inlineStr">
        <is>
          <t>https://www.thefork.es/restaurant/messie-sin-gluten-barcelona</t>
        </is>
      </c>
      <c r="F16" s="5" t="b">
        <v>1</v>
      </c>
      <c r="G16" s="5" t="inlineStr">
        <is>
          <t>2026-04-25</t>
        </is>
      </c>
      <c r="H16" s="5" t="inlineStr">
        <is>
          <t>TheFork hat sehr wahrscheinlich Eintrag — populärer Treffpunkt. PRÜFEN.</t>
        </is>
      </c>
    </row>
  </sheetData>
  <dataValidations count="2">
    <dataValidation sqref="D2:D1000" showDropDown="0" showInputMessage="0" showErrorMessage="0" allowBlank="1" type="list">
      <formula1>"thefork,opentable,quandoo,booking_restaurants,own_website,phone_only,walk_in_only,instagram_dm"</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10" defaultColWidth="9.140625" defaultRowHeight="15"/>
  <cols>
    <col width="14" customWidth="1" min="1" max="2"/>
    <col width="26" customWidth="1" min="3" max="3"/>
    <col width="20" customWidth="1" min="4" max="4"/>
    <col width="30" customWidth="1" min="5" max="5"/>
    <col width="18" customWidth="1" min="6" max="6"/>
    <col width="12" customWidth="1" min="7" max="7"/>
    <col width="40" customWidth="1" min="8" max="8"/>
    <col width="30" customWidth="1" min="9" max="9"/>
    <col width="18" customWidth="1" min="10" max="10"/>
    <col width="40" customWidth="1" min="11" max="11"/>
    <col width="18" customWidth="1" min="12" max="13"/>
    <col width="30" customWidth="1" min="14" max="15"/>
    <col width="18" customWidth="1" min="16" max="16"/>
  </cols>
  <sheetData>
    <row r="1" ht="32.1" customHeight="1">
      <c r="A1" s="3" t="inlineStr">
        <is>
          <t>id</t>
        </is>
      </c>
      <c r="B1" s="3" t="inlineStr">
        <is>
          <t>submitted_at</t>
        </is>
      </c>
      <c r="C1" s="3" t="inlineStr">
        <is>
          <t>submitted_by_email</t>
        </is>
      </c>
      <c r="D1" s="3" t="inlineStr">
        <is>
          <t>submitted_by_name</t>
        </is>
      </c>
      <c r="E1" s="3" t="inlineStr">
        <is>
          <t>restaurant_name</t>
        </is>
      </c>
      <c r="F1" s="3" t="inlineStr">
        <is>
          <t>city</t>
        </is>
      </c>
      <c r="G1" s="3" t="inlineStr">
        <is>
          <t>country_code</t>
        </is>
      </c>
      <c r="H1" s="3" t="inlineStr">
        <is>
          <t>address</t>
        </is>
      </c>
      <c r="I1" s="3" t="inlineStr">
        <is>
          <t>website</t>
        </is>
      </c>
      <c r="J1" s="3" t="inlineStr">
        <is>
          <t>phone</t>
        </is>
      </c>
      <c r="K1" s="3" t="inlineStr">
        <is>
          <t>submission_notes</t>
        </is>
      </c>
      <c r="L1" s="3" t="inlineStr">
        <is>
          <t>submission_status</t>
        </is>
      </c>
      <c r="M1" s="3" t="inlineStr">
        <is>
          <t>verification_assigned_to</t>
        </is>
      </c>
      <c r="N1" s="3" t="inlineStr">
        <is>
          <t>verification_outcome</t>
        </is>
      </c>
      <c r="O1" s="3" t="inlineStr">
        <is>
          <t>rejection_reason</t>
        </is>
      </c>
      <c r="P1" s="3" t="inlineStr">
        <is>
          <t>promoted_to_restaurant_id</t>
        </is>
      </c>
    </row>
  </sheetData>
  <dataValidations count="1">
    <dataValidation sqref="L2:L1000" showDropDown="0" showInputMessage="0" showErrorMessage="0" allowBlank="1" type="list">
      <formula1>"pending,in_verification,approved,rejected"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tabSelected="1" workbookViewId="0">
      <selection activeCell="A1" sqref="A1"/>
    </sheetView>
  </sheetViews>
  <sheetFormatPr baseColWidth="10" defaultColWidth="9.140625" defaultRowHeight="15"/>
  <cols>
    <col width="40" customWidth="1" min="1" max="1"/>
    <col width="15" customWidth="1" min="2" max="2"/>
  </cols>
  <sheetData>
    <row r="1" ht="18" customHeight="1">
      <c r="A1" s="7" t="inlineStr">
        <is>
          <t>Statistik (automatisch aktualisiert)</t>
        </is>
      </c>
    </row>
    <row r="3">
      <c r="A3" s="8" t="inlineStr">
        <is>
          <t>Gesamtzahl Einträge</t>
        </is>
      </c>
      <c r="B3" s="8">
        <f>COUNTA(restaurants!A:A)-1</f>
        <v/>
      </c>
    </row>
    <row r="4">
      <c r="A4" s="8" t="inlineStr">
        <is>
          <t>Davon pending_verification</t>
        </is>
      </c>
      <c r="B4" s="8">
        <f>COUNTIF(restaurants!R:R,"pending_verification")</f>
        <v/>
      </c>
    </row>
    <row r="5">
      <c r="A5" s="8" t="inlineStr">
        <is>
          <t>Davon in_verification</t>
        </is>
      </c>
      <c r="B5" s="8">
        <f>COUNTIF(restaurants!R:R,"in_verification")</f>
        <v/>
      </c>
    </row>
    <row r="6">
      <c r="A6" s="8" t="inlineStr">
        <is>
          <t>Davon verified</t>
        </is>
      </c>
      <c r="B6" s="8">
        <f>COUNTIF(restaurants!R:R,"verified")</f>
        <v/>
      </c>
    </row>
    <row r="7">
      <c r="A7" s="8" t="inlineStr">
        <is>
          <t>Davon rejected</t>
        </is>
      </c>
      <c r="B7" s="8">
        <f>COUNTIF(restaurants!R:R,"rejected")</f>
        <v/>
      </c>
    </row>
    <row r="8">
      <c r="A8" s="9" t="n"/>
    </row>
    <row r="9">
      <c r="A9" s="9" t="inlineStr">
        <is>
          <t>Verteilung nach Region</t>
        </is>
      </c>
    </row>
    <row r="10">
      <c r="A10" s="8" t="inlineStr">
        <is>
          <t>ES-IB (Balearen)</t>
        </is>
      </c>
      <c r="B10" s="8">
        <f>COUNTIF(restaurants!E:E,"ES-IB")</f>
        <v/>
      </c>
    </row>
    <row r="11">
      <c r="A11" s="8" t="inlineStr">
        <is>
          <t>ES-MD (Madrid)</t>
        </is>
      </c>
      <c r="B11" s="8">
        <f>COUNTIF(restaurants!E:E,"ES-MD")</f>
        <v/>
      </c>
    </row>
    <row r="12">
      <c r="A12" s="8" t="inlineStr">
        <is>
          <t>ES-CT (Cataluña)</t>
        </is>
      </c>
      <c r="B12" s="8">
        <f>COUNTIF(restaurants!E:E,"ES-CT")</f>
        <v/>
      </c>
    </row>
    <row r="13">
      <c r="A13" s="8" t="inlineStr">
        <is>
          <t>ES-VC (Valencia)</t>
        </is>
      </c>
      <c r="B13" s="8">
        <f>COUNTIF(restaurants!E:E,"ES-VC")</f>
        <v/>
      </c>
    </row>
    <row r="14">
      <c r="A14" s="8" t="inlineStr">
        <is>
          <t>ES-AN (Andalucía)</t>
        </is>
      </c>
      <c r="B14" s="8">
        <f>COUNTIF(restaurants!E:E,"ES-AN")</f>
        <v/>
      </c>
    </row>
    <row r="15">
      <c r="A15" s="8" t="inlineStr">
        <is>
          <t>ES-PV (País Vasco)</t>
        </is>
      </c>
      <c r="B15" s="8">
        <f>COUNTIF(restaurants!E:E,"ES-PV")</f>
        <v/>
      </c>
    </row>
    <row r="16">
      <c r="A16" s="8" t="inlineStr">
        <is>
          <t>ES-GA (Galicia)</t>
        </is>
      </c>
      <c r="B16" s="8">
        <f>COUNTIF(restaurants!E:E,"ES-GA")</f>
        <v/>
      </c>
    </row>
    <row r="17">
      <c r="A17" s="9" t="n"/>
    </row>
    <row r="18">
      <c r="A18" s="8" t="inlineStr">
        <is>
          <t>FACE-zertifiziert</t>
        </is>
      </c>
      <c r="B18" s="8">
        <f>COUNTIF(restaurants!X:X,TRUE)</f>
        <v/>
      </c>
    </row>
    <row r="19">
      <c r="A19" s="8" t="inlineStr">
        <is>
          <t>AOECS-zertifiziert</t>
        </is>
      </c>
      <c r="B19" s="8">
        <f>COUNTIF(restaurants!Y:Y,TRUE)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2026-04-25T13:07:31Z</dcterms:created>
  <dcterms:modified xsi:type="dcterms:W3CDTF">2026-06-07T12:07:05Z</dcterms:modified>
  <cp:lastModifiedBy>Stephan Arnold</cp:lastModifiedBy>
</cp:coreProperties>
</file>