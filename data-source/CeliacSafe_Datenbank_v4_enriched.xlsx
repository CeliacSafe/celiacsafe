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6" autoFilterDateGrouping="1"/>
  </bookViews>
  <sheets>
    <sheet name="README" sheetId="1" state="visible" r:id="rId1"/>
    <sheet name="lookups" sheetId="2" state="visible" r:id="rId2"/>
    <sheet name="restaurants" sheetId="3" state="visible" r:id="rId3"/>
    <sheet name="delivery_links" sheetId="4" state="visible" r:id="rId4"/>
    <sheet name="reservation_links" sheetId="5" state="visible" r:id="rId5"/>
    <sheet name="submissions" sheetId="6" state="visible" r:id="rId6"/>
    <sheet name="statistics" sheetId="7" state="visible" r:id="rId7"/>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2E7D32"/>
      <sz val="12"/>
    </font>
    <font>
      <name val="Arial"/>
      <family val="2"/>
      <color rgb="FF000000"/>
      <sz val="12"/>
    </font>
    <font>
      <name val="Arial"/>
      <family val="2"/>
      <b val="1"/>
      <color rgb="FFFFFFFF"/>
      <sz val="11"/>
    </font>
    <font>
      <name val="Arial"/>
      <family val="2"/>
      <sz val="10"/>
    </font>
    <font>
      <name val="Arial"/>
      <family val="2"/>
      <b val="1"/>
      <color rgb="FF2E7D32"/>
      <sz val="14"/>
    </font>
    <font>
      <name val="Arial"/>
      <family val="2"/>
      <sz val="11"/>
    </font>
    <font>
      <name val="Arial"/>
      <family val="2"/>
      <b val="1"/>
      <sz val="11"/>
    </font>
  </fonts>
  <fills count="4">
    <fill>
      <patternFill/>
    </fill>
    <fill>
      <patternFill patternType="gray125"/>
    </fill>
    <fill>
      <patternFill patternType="solid">
        <fgColor rgb="FF2E7D32"/>
      </patternFill>
    </fill>
    <fill>
      <patternFill patternType="solid">
        <fgColor rgb="FFFFF59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4" fillId="0" borderId="0"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CeliacSafe</author>
  </authors>
  <commentList>
    <comment ref="A1" authorId="0" shapeId="0">
      <text>
        <t>Eindeutige ID (auto-vergeben)</t>
      </text>
    </comment>
    <comment ref="B1" authorId="0" shapeId="0">
      <text>
        <t>Offizieller Restaurant-Name</t>
      </text>
    </comment>
    <comment ref="C1" authorId="0" shapeId="0">
      <text>
        <t>URL-/SEO-tauglicher Kurzname</t>
      </text>
    </comment>
    <comment ref="D1" authorId="0" shapeId="0">
      <text>
        <t>ISO-2 (ES, PT, DE...)</t>
      </text>
    </comment>
    <comment ref="E1" authorId="0" shapeId="0">
      <text>
        <t>ISO-3166-2 (ES-IB, ES-MD...)</t>
      </text>
    </comment>
    <comment ref="F1" authorId="0" shapeId="0">
      <text>
        <t>Region in Landessprache</t>
      </text>
    </comment>
    <comment ref="G1" authorId="0" shapeId="0">
      <text>
        <t>Provinz innerhalb der Region</t>
      </text>
    </comment>
    <comment ref="H1" authorId="0" shapeId="0">
      <text>
        <t>Stadt</t>
      </text>
    </comment>
    <comment ref="I1" authorId="0" shapeId="0">
      <text>
        <t>Stadtteil/Viertel</t>
      </text>
    </comment>
    <comment ref="J1" authorId="0" shapeId="0">
      <text>
        <t>PLZ</t>
      </text>
    </comment>
    <comment ref="K1" authorId="0" shapeId="0">
      <text>
        <t>Straße + Hausnummer</t>
      </text>
    </comment>
    <comment ref="L1" authorId="0" shapeId="0">
      <text>
        <t>Breitengrad (6 Nachkommastellen)</t>
      </text>
    </comment>
    <comment ref="M1" authorId="0" shapeId="0">
      <text>
        <t>Längengrad (6 Nachkommastellen)</t>
      </text>
    </comment>
    <comment ref="N1" authorId="0" shapeId="0">
      <text>
        <t>restaurant / cafe / bakery / pastry_shop / pizzeria / ...</t>
      </text>
    </comment>
    <comment ref="O1" authorId="0" shapeId="0">
      <text>
        <t>Komma-getrennt: mediterranea, italiana, ...</t>
      </text>
    </comment>
    <comment ref="P1" authorId="0" shapeId="0">
      <text>
        <t>€ / €€ / €€€ / €€€€</t>
      </text>
    </comment>
    <comment ref="Q1" authorId="0" shapeId="0">
      <text>
        <t>Komma-getrennt: breakfast, lunch, dinner</t>
      </text>
    </comment>
    <comment ref="R1" authorId="0" shapeId="0">
      <text>
        <t>pending_verification / verified / rejected</t>
      </text>
    </comment>
    <comment ref="S1" authorId="0" shapeId="0">
      <text>
        <t>Wer hat verifiziert (Stephan, Frau, beide)</t>
      </text>
    </comment>
    <comment ref="T1" authorId="0" shapeId="0">
      <text>
        <t>Datum der letzten Verifizierung</t>
      </text>
    </comment>
    <comment ref="U1" authorId="0" shapeId="0">
      <text>
        <t>Komma-getrennt: own_visit, face_certified, ...</t>
      </text>
    </comment>
    <comment ref="V1" authorId="0" shapeId="0">
      <text>
        <t>Persönliche Notizen zur Verifizierung</t>
      </text>
    </comment>
    <comment ref="W1" authorId="0" shapeId="0">
      <text>
        <t>Falls rejected: Begründung</t>
      </text>
    </comment>
    <comment ref="X1" authorId="0" shapeId="0">
      <text>
        <t>TRUE/FALSE — im FACE-Programm gelistet</t>
      </text>
    </comment>
    <comment ref="Y1" authorId="0" shapeId="0">
      <text>
        <t>TRUE/FALSE — AOECS Espiga Barrada</t>
      </text>
    </comment>
    <comment ref="Z1" authorId="0" shapeId="0">
      <text>
        <t>FACE / ACECOVA / Celiacs Catalunya / ...</t>
      </text>
    </comment>
    <comment ref="AA1" authorId="0" shapeId="0">
      <text>
        <t>+34XXXXXXXXX (E.164)</t>
      </text>
    </comment>
    <comment ref="AB1" authorId="0" shapeId="0">
      <text>
        <t>+34XXXXXXXXX (E.164)</t>
      </text>
    </comment>
    <comment ref="AC1" authorId="0" shapeId="0">
      <text>
        <t>Kontakt-E-Mail</t>
      </text>
    </comment>
    <comment ref="AD1" authorId="0" shapeId="0">
      <text>
        <t>Webseite (https://...)</t>
      </text>
    </comment>
    <comment ref="AE1" authorId="0" shapeId="0">
      <text>
        <t>@handle</t>
      </text>
    </comment>
    <comment ref="AF1" authorId="0" shapeId="0">
      <text>
        <t>URL</t>
      </text>
    </comment>
    <comment ref="AG1" authorId="0" shapeId="0">
      <text>
        <t>JSON: {"mon":[{"open":"13:00","close":"16:00"}],...}</t>
      </text>
    </comment>
    <comment ref="AH1" authorId="0" shapeId="0">
      <text>
        <t>z.B. 'Cerrado Nov-Feb'</t>
      </text>
    </comment>
    <comment ref="AI1" authorId="0" shapeId="0">
      <text>
        <t>Kurzbeschreibung Spanisch</t>
      </text>
    </comment>
    <comment ref="AJ1" authorId="0" shapeId="0">
      <text>
        <t>Kurzbeschreibung Englisch</t>
      </text>
    </comment>
    <comment ref="AK1" authorId="0" shapeId="0">
      <text>
        <t>Kurzbeschreibung Deutsch</t>
      </text>
    </comment>
    <comment ref="AL1" authorId="0" shapeId="0">
      <text>
        <t>Bild-URL (Lizenz beachten)</t>
      </text>
    </comment>
    <comment ref="AM1" authorId="0" shapeId="0">
      <text>
        <t>blog_research / face_directory / ...</t>
      </text>
    </comment>
    <comment ref="AN1" authorId="0" shapeId="0">
      <text>
        <t>Konkrete Quellen mit URL/Datum</t>
      </text>
    </comment>
    <comment ref="AO1" authorId="0" shapeId="0">
      <text>
        <t>Erstellungsdatum</t>
      </text>
    </comment>
    <comment ref="AP1" authorId="0" shapeId="0">
      <text>
        <t>Letzte Änderung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10" defaultColWidth="9.140625" defaultRowHeight="15"/>
  <cols>
    <col width="110" customWidth="1" min="1" max="1"/>
  </cols>
  <sheetData>
    <row r="1" ht="15.75" customHeight="1">
      <c r="A1" s="1" t="inlineStr">
        <is>
          <t>CELIAC SAFE — DATENBANK</t>
        </is>
      </c>
    </row>
    <row r="2">
      <c r="A2" s="2" t="inlineStr">
        <is>
          <t>Stand: 25. April 2026 — Version 1 (initiale Recherche-Befüllung)</t>
        </is>
      </c>
    </row>
    <row r="3">
      <c r="A3" s="2" t="n"/>
    </row>
    <row r="4" ht="15.75" customHeight="1">
      <c r="A4" s="1" t="inlineStr">
        <is>
          <t>ZIEL DER APP</t>
        </is>
      </c>
    </row>
    <row r="5">
      <c r="A5" s="2" t="inlineStr">
        <is>
          <t>Sammlung 100% glutenfreier Restaurants in Spanien (perspektivisch Europa).</t>
        </is>
      </c>
    </row>
    <row r="6">
      <c r="A6" s="2" t="inlineStr">
        <is>
          <t>Jeder Eintrag in 'restaurants' wurde von Stephan &amp; Familie persönlich verifiziert.</t>
        </is>
      </c>
    </row>
    <row r="7">
      <c r="A7" s="2" t="inlineStr">
        <is>
          <t>Vorab-Recherche befindet sich in 'restaurants' mit Status = 'pending_verification'.</t>
        </is>
      </c>
    </row>
    <row r="8">
      <c r="A8" s="2" t="n"/>
    </row>
    <row r="9" ht="15.75" customHeight="1">
      <c r="A9" s="1" t="inlineStr">
        <is>
          <t>WORKFLOW</t>
        </is>
      </c>
    </row>
    <row r="10">
      <c r="A10" s="2" t="inlineStr">
        <is>
          <t>1. Sheet 'restaurants' öffnen — alle Recherche-Kandidaten sind dort eingetragen</t>
        </is>
      </c>
    </row>
    <row r="11">
      <c r="A11" s="2" t="inlineStr">
        <is>
          <t>2. Spalte 'verification_status' = 'pending_verification' = NOCH ZU PRÜFEN (gelb hinterlegt)</t>
        </is>
      </c>
    </row>
    <row r="12">
      <c r="A12" s="2" t="inlineStr">
        <is>
          <t>3. Restaurant kontaktieren / besuchen / Webseite checken</t>
        </is>
      </c>
    </row>
    <row r="13">
      <c r="A13" s="2" t="inlineStr">
        <is>
          <t>4. Bei Bestätigung 100% GF: 'verification_status' auf 'verified' setzen (wird grün)</t>
        </is>
      </c>
    </row>
    <row r="14">
      <c r="A14" s="2" t="inlineStr">
        <is>
          <t>5. 'last_verified_at' und 'verified_by' ausfüllen</t>
        </is>
      </c>
    </row>
    <row r="15">
      <c r="A15" s="2" t="inlineStr">
        <is>
          <t>6. Bei Ablehnung (nicht 100% GF): 'verification_status' auf 'rejected', 'rejection_reason' ausfüllen</t>
        </is>
      </c>
    </row>
    <row r="16">
      <c r="A16" s="2" t="inlineStr">
        <is>
          <t>7. Nur Einträge mit 'verified' kommen später in die App-Datenbank</t>
        </is>
      </c>
    </row>
    <row r="17">
      <c r="A17" s="2" t="n"/>
    </row>
    <row r="18" ht="15.75" customHeight="1">
      <c r="A18" s="1" t="inlineStr">
        <is>
          <t>WICHTIG ZUR DATENQUALITÄT</t>
        </is>
      </c>
    </row>
    <row r="19">
      <c r="A19" s="2" t="inlineStr">
        <is>
          <t>Die initiale Befüllung basiert auf Web-Recherche aus Quellen wie:</t>
        </is>
      </c>
    </row>
    <row r="20">
      <c r="A20" s="2" t="inlineStr">
        <is>
          <t>- celicidad.net, celiacosmadrid.org, redsevillasingluten.org, acecova.org</t>
        </is>
      </c>
    </row>
    <row r="21">
      <c r="A21" s="2" t="inlineStr">
        <is>
          <t>- celinews.com, disfrutandosingluten.es, celiaquita.com, marchandoviaje.com</t>
        </is>
      </c>
    </row>
    <row r="22">
      <c r="A22" s="2" t="inlineStr">
        <is>
          <t>- Eigene Webseiten der Restaurants, FACE-Verzeichnis</t>
        </is>
      </c>
    </row>
    <row r="23">
      <c r="A23" s="2" t="inlineStr">
        <is>
          <t>Quelle pro Eintrag dokumentiert in Spalte 'data_source_notes'.</t>
        </is>
      </c>
    </row>
    <row r="24">
      <c r="A24" s="2" t="inlineStr">
        <is>
          <t>Web-Quellen können veraltet sein — DESHALB ist eigene Verifizierung Pflicht.</t>
        </is>
      </c>
    </row>
    <row r="25">
      <c r="A25" s="2" t="n"/>
    </row>
    <row r="26" ht="15.75" customHeight="1">
      <c r="A26" s="1" t="inlineStr">
        <is>
          <t>SHEETS</t>
        </is>
      </c>
    </row>
    <row r="27">
      <c r="A27" s="2" t="inlineStr">
        <is>
          <t>- restaurants:        Hauptdatenbank — alle Restaurants</t>
        </is>
      </c>
    </row>
    <row r="28">
      <c r="A28" s="2" t="inlineStr">
        <is>
          <t>- delivery_links:     Lieferdienst-Links pro Restaurant (Glovo, Just Eat, Uber Eats)</t>
        </is>
      </c>
    </row>
    <row r="29">
      <c r="A29" s="2" t="inlineStr">
        <is>
          <t>- reservation_links:  Reservierungs-Links (TheFork, OpenTable)</t>
        </is>
      </c>
    </row>
    <row r="30">
      <c r="A30" s="2" t="inlineStr">
        <is>
          <t>- submissions:        Eingehende User-Vorschläge (für später)</t>
        </is>
      </c>
    </row>
    <row r="31">
      <c r="A31" s="2" t="inlineStr">
        <is>
          <t>- lookups:            ISO-Codes, Enum-Werte, Referenzlisten</t>
        </is>
      </c>
    </row>
    <row r="32">
      <c r="A32" s="2" t="n"/>
    </row>
    <row r="33" ht="15.75" customHeight="1">
      <c r="A33" s="1" t="inlineStr">
        <is>
          <t>FARBLEGENDE</t>
        </is>
      </c>
    </row>
    <row r="34">
      <c r="A34" s="2" t="inlineStr">
        <is>
          <t>- Gelb hinterlegt:    Status = pending_verification (noch zu prüfen)</t>
        </is>
      </c>
    </row>
    <row r="35">
      <c r="A35" s="2" t="inlineStr">
        <is>
          <t>- Grün hinterlegt:    Status = verified (von uns bestätigt 100% GF)</t>
        </is>
      </c>
    </row>
    <row r="36">
      <c r="A36" s="2" t="inlineStr">
        <is>
          <t>- Rot hinterlegt:     Status = rejected (nicht 100% GF, ausgemustert)</t>
        </is>
      </c>
    </row>
    <row r="37">
      <c r="A37" s="2" t="n"/>
    </row>
    <row r="38" ht="15.75" customHeight="1">
      <c r="A38" s="1" t="inlineStr">
        <is>
          <t>KONVENTIONEN</t>
        </is>
      </c>
    </row>
    <row r="39">
      <c r="A39" s="2" t="inlineStr">
        <is>
          <t>- Telefonnummern im Format +34XXXXXXXXX (E.164)</t>
        </is>
      </c>
    </row>
    <row r="40">
      <c r="A40" s="2" t="inlineStr">
        <is>
          <t>- Koordinaten: latitude/longitude — 6 Nachkommastellen ungefähr</t>
        </is>
      </c>
    </row>
    <row r="41">
      <c r="A41" s="2" t="inlineStr">
        <is>
          <t>- ISO-Region-Codes: ES-IB (Balearen), ES-MD (Madrid), ES-CT (Katalonien) etc.</t>
        </is>
      </c>
    </row>
    <row r="42">
      <c r="A42" s="2" t="inlineStr">
        <is>
          <t>- venue_type / cuisine_types: siehe Sheet 'lookups'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10" defaultColWidth="9.140625" defaultRowHeight="15"/>
  <cols>
    <col width="24" customWidth="1" min="1" max="14"/>
  </cols>
  <sheetData>
    <row r="1" ht="32.1" customHeight="1">
      <c r="A1" s="3" t="inlineStr">
        <is>
          <t>country_code</t>
        </is>
      </c>
      <c r="B1" s="3" t="inlineStr">
        <is>
          <t>country_name</t>
        </is>
      </c>
      <c r="C1" s="3" t="inlineStr">
        <is>
          <t>region_code_es</t>
        </is>
      </c>
      <c r="D1" s="3" t="inlineStr">
        <is>
          <t>region_name_es</t>
        </is>
      </c>
      <c r="E1" s="3" t="inlineStr">
        <is>
          <t>venue_type</t>
        </is>
      </c>
      <c r="F1" s="3" t="inlineStr">
        <is>
          <t>cuisine_type</t>
        </is>
      </c>
      <c r="G1" s="3" t="inlineStr">
        <is>
          <t>price_range</t>
        </is>
      </c>
      <c r="H1" s="3" t="inlineStr">
        <is>
          <t>meal_type</t>
        </is>
      </c>
      <c r="I1" s="3" t="inlineStr">
        <is>
          <t>verification_status</t>
        </is>
      </c>
      <c r="J1" s="3" t="inlineStr">
        <is>
          <t>verification_method</t>
        </is>
      </c>
      <c r="K1" s="3" t="inlineStr">
        <is>
          <t>data_source_type</t>
        </is>
      </c>
      <c r="L1" s="3" t="inlineStr">
        <is>
          <t>platform_delivery</t>
        </is>
      </c>
      <c r="M1" s="3" t="inlineStr">
        <is>
          <t>platform_reservation</t>
        </is>
      </c>
      <c r="N1" s="3" t="inlineStr">
        <is>
          <t>national_authority</t>
        </is>
      </c>
    </row>
    <row r="2">
      <c r="A2" s="4" t="inlineStr">
        <is>
          <t>ES</t>
        </is>
      </c>
      <c r="B2" s="4" t="inlineStr">
        <is>
          <t>España</t>
        </is>
      </c>
      <c r="C2" s="4" t="inlineStr">
        <is>
          <t>ES-AN</t>
        </is>
      </c>
      <c r="D2" s="4" t="inlineStr">
        <is>
          <t>Andalucía</t>
        </is>
      </c>
      <c r="E2" s="4" t="inlineStr">
        <is>
          <t>restaurant</t>
        </is>
      </c>
      <c r="F2" s="4" t="inlineStr">
        <is>
          <t>mediterranea</t>
        </is>
      </c>
      <c r="G2" s="4" t="inlineStr">
        <is>
          <t>€</t>
        </is>
      </c>
      <c r="H2" s="4" t="inlineStr">
        <is>
          <t>breakfast</t>
        </is>
      </c>
      <c r="I2" s="4" t="inlineStr">
        <is>
          <t>pending_verification</t>
        </is>
      </c>
      <c r="J2" s="4" t="inlineStr">
        <is>
          <t>own_visit</t>
        </is>
      </c>
      <c r="K2" s="4" t="inlineStr">
        <is>
          <t>own_research</t>
        </is>
      </c>
      <c r="L2" s="4" t="inlineStr">
        <is>
          <t>glovo</t>
        </is>
      </c>
      <c r="M2" s="4" t="inlineStr">
        <is>
          <t>thefork</t>
        </is>
      </c>
      <c r="N2" s="4" t="inlineStr">
        <is>
          <t>FACE</t>
        </is>
      </c>
    </row>
    <row r="3">
      <c r="A3" s="4" t="inlineStr">
        <is>
          <t>PT</t>
        </is>
      </c>
      <c r="B3" s="4" t="inlineStr">
        <is>
          <t>Portugal</t>
        </is>
      </c>
      <c r="C3" s="4" t="inlineStr">
        <is>
          <t>ES-AR</t>
        </is>
      </c>
      <c r="D3" s="4" t="inlineStr">
        <is>
          <t>Aragón</t>
        </is>
      </c>
      <c r="E3" s="4" t="inlineStr">
        <is>
          <t>cafe</t>
        </is>
      </c>
      <c r="F3" s="4" t="inlineStr">
        <is>
          <t>espanola</t>
        </is>
      </c>
      <c r="G3" s="4" t="inlineStr">
        <is>
          <t>€€</t>
        </is>
      </c>
      <c r="H3" s="4" t="inlineStr">
        <is>
          <t>brunch</t>
        </is>
      </c>
      <c r="I3" s="4" t="inlineStr">
        <is>
          <t>in_verification</t>
        </is>
      </c>
      <c r="J3" s="4" t="inlineStr">
        <is>
          <t>phone_confirmed</t>
        </is>
      </c>
      <c r="K3" s="4" t="inlineStr">
        <is>
          <t>face_directory</t>
        </is>
      </c>
      <c r="L3" s="4" t="inlineStr">
        <is>
          <t>just_eat</t>
        </is>
      </c>
      <c r="M3" s="4" t="inlineStr">
        <is>
          <t>opentable</t>
        </is>
      </c>
      <c r="N3" s="4" t="inlineStr">
        <is>
          <t>ACECOVA</t>
        </is>
      </c>
    </row>
    <row r="4">
      <c r="A4" s="4" t="inlineStr">
        <is>
          <t>IT</t>
        </is>
      </c>
      <c r="B4" s="4" t="inlineStr">
        <is>
          <t>Italia</t>
        </is>
      </c>
      <c r="C4" s="4" t="inlineStr">
        <is>
          <t>ES-AS</t>
        </is>
      </c>
      <c r="D4" s="4" t="inlineStr">
        <is>
          <t>Asturias</t>
        </is>
      </c>
      <c r="E4" s="4" t="inlineStr">
        <is>
          <t>bakery</t>
        </is>
      </c>
      <c r="F4" s="4" t="inlineStr">
        <is>
          <t>andaluza</t>
        </is>
      </c>
      <c r="G4" s="4" t="inlineStr">
        <is>
          <t>€€€</t>
        </is>
      </c>
      <c r="H4" s="4" t="inlineStr">
        <is>
          <t>lunch</t>
        </is>
      </c>
      <c r="I4" s="4" t="inlineStr">
        <is>
          <t>verified</t>
        </is>
      </c>
      <c r="J4" s="4" t="inlineStr">
        <is>
          <t>email_confirmed</t>
        </is>
      </c>
      <c r="K4" s="4" t="inlineStr">
        <is>
          <t>regional_association</t>
        </is>
      </c>
      <c r="L4" s="4" t="inlineStr">
        <is>
          <t>uber_eats</t>
        </is>
      </c>
      <c r="M4" s="4" t="inlineStr">
        <is>
          <t>quandoo</t>
        </is>
      </c>
      <c r="N4" s="4" t="inlineStr">
        <is>
          <t>Celiacs Catalunya</t>
        </is>
      </c>
    </row>
    <row r="5">
      <c r="A5" s="4" t="inlineStr">
        <is>
          <t>FR</t>
        </is>
      </c>
      <c r="B5" s="4" t="inlineStr">
        <is>
          <t>Francia</t>
        </is>
      </c>
      <c r="C5" s="4" t="inlineStr">
        <is>
          <t>ES-CN</t>
        </is>
      </c>
      <c r="D5" s="4" t="inlineStr">
        <is>
          <t>Canarias</t>
        </is>
      </c>
      <c r="E5" s="4" t="inlineStr">
        <is>
          <t>pastry_shop</t>
        </is>
      </c>
      <c r="F5" s="4" t="inlineStr">
        <is>
          <t>catalana</t>
        </is>
      </c>
      <c r="G5" s="4" t="inlineStr">
        <is>
          <t>€€€€</t>
        </is>
      </c>
      <c r="H5" s="4" t="inlineStr">
        <is>
          <t>dinner</t>
        </is>
      </c>
      <c r="I5" s="4" t="inlineStr">
        <is>
          <t>rejected</t>
        </is>
      </c>
      <c r="J5" s="4" t="inlineStr">
        <is>
          <t>face_certified</t>
        </is>
      </c>
      <c r="K5" s="4" t="inlineStr">
        <is>
          <t>blog_research</t>
        </is>
      </c>
      <c r="L5" s="4" t="inlineStr">
        <is>
          <t>wolt</t>
        </is>
      </c>
      <c r="M5" s="4" t="inlineStr">
        <is>
          <t>booking_restaurants</t>
        </is>
      </c>
      <c r="N5" s="4" t="inlineStr">
        <is>
          <t>Celiacs Balears</t>
        </is>
      </c>
    </row>
    <row r="6">
      <c r="A6" s="4" t="inlineStr">
        <is>
          <t>DE</t>
        </is>
      </c>
      <c r="B6" s="4" t="inlineStr">
        <is>
          <t>Alemania</t>
        </is>
      </c>
      <c r="C6" s="4" t="inlineStr">
        <is>
          <t>ES-CB</t>
        </is>
      </c>
      <c r="D6" s="4" t="inlineStr">
        <is>
          <t>Cantabria</t>
        </is>
      </c>
      <c r="E6" s="4" t="inlineStr">
        <is>
          <t>ice_cream</t>
        </is>
      </c>
      <c r="F6" s="4" t="inlineStr">
        <is>
          <t>valenciana</t>
        </is>
      </c>
      <c r="H6" s="4" t="inlineStr">
        <is>
          <t>snacks</t>
        </is>
      </c>
      <c r="I6" s="4" t="inlineStr">
        <is>
          <t>closed_permanently</t>
        </is>
      </c>
      <c r="J6" s="4" t="inlineStr">
        <is>
          <t>regional_assoc_certified</t>
        </is>
      </c>
      <c r="K6" s="4" t="inlineStr">
        <is>
          <t>official_website</t>
        </is>
      </c>
      <c r="L6" s="4" t="inlineStr">
        <is>
          <t>lieferando</t>
        </is>
      </c>
      <c r="M6" s="4" t="inlineStr">
        <is>
          <t>own_website</t>
        </is>
      </c>
      <c r="N6" s="4" t="inlineStr">
        <is>
          <t>ACSG Madrid</t>
        </is>
      </c>
    </row>
    <row r="7">
      <c r="A7" s="4" t="inlineStr">
        <is>
          <t>AT</t>
        </is>
      </c>
      <c r="B7" s="4" t="inlineStr">
        <is>
          <t>Austria</t>
        </is>
      </c>
      <c r="C7" s="4" t="inlineStr">
        <is>
          <t>ES-CL</t>
        </is>
      </c>
      <c r="D7" s="4" t="inlineStr">
        <is>
          <t>Castilla y León</t>
        </is>
      </c>
      <c r="E7" s="4" t="inlineStr">
        <is>
          <t>pizzeria</t>
        </is>
      </c>
      <c r="F7" s="4" t="inlineStr">
        <is>
          <t>mallorquina</t>
        </is>
      </c>
      <c r="H7" s="4" t="inlineStr">
        <is>
          <t>drinks</t>
        </is>
      </c>
      <c r="J7" s="4" t="inlineStr">
        <is>
          <t>operator_declaration</t>
        </is>
      </c>
      <c r="K7" s="4" t="inlineStr">
        <is>
          <t>community_submission</t>
        </is>
      </c>
      <c r="L7" s="4" t="inlineStr">
        <is>
          <t>foodora</t>
        </is>
      </c>
      <c r="M7" s="4" t="inlineStr">
        <is>
          <t>phone_only</t>
        </is>
      </c>
      <c r="N7" s="4" t="inlineStr">
        <is>
          <t>Red Sevilla Sin Gluten</t>
        </is>
      </c>
    </row>
    <row r="8">
      <c r="A8" s="4" t="inlineStr">
        <is>
          <t>CH</t>
        </is>
      </c>
      <c r="B8" s="4" t="inlineStr">
        <is>
          <t>Suiza</t>
        </is>
      </c>
      <c r="C8" s="4" t="inlineStr">
        <is>
          <t>ES-CM</t>
        </is>
      </c>
      <c r="D8" s="4" t="inlineStr">
        <is>
          <t>Castilla-La Mancha</t>
        </is>
      </c>
      <c r="E8" s="4" t="inlineStr">
        <is>
          <t>bar_tapas</t>
        </is>
      </c>
      <c r="F8" s="4" t="inlineStr">
        <is>
          <t>italiana</t>
        </is>
      </c>
      <c r="J8" s="4" t="inlineStr">
        <is>
          <t>multiple_sources</t>
        </is>
      </c>
      <c r="L8" s="4" t="inlineStr">
        <is>
          <t>deliveroo</t>
        </is>
      </c>
      <c r="M8" s="4" t="inlineStr">
        <is>
          <t>walk_in_only</t>
        </is>
      </c>
      <c r="N8" s="4" t="inlineStr">
        <is>
          <t>Celiacs Andalucia</t>
        </is>
      </c>
    </row>
    <row r="9">
      <c r="A9" s="4" t="inlineStr">
        <is>
          <t>GB</t>
        </is>
      </c>
      <c r="B9" s="4" t="inlineStr">
        <is>
          <t>Reino Unido</t>
        </is>
      </c>
      <c r="C9" s="4" t="inlineStr">
        <is>
          <t>ES-CT</t>
        </is>
      </c>
      <c r="D9" s="4" t="inlineStr">
        <is>
          <t>Cataluña</t>
        </is>
      </c>
      <c r="E9" s="4" t="inlineStr">
        <is>
          <t>fast_food</t>
        </is>
      </c>
      <c r="F9" s="4" t="inlineStr">
        <is>
          <t>japonesa</t>
        </is>
      </c>
      <c r="L9" s="4" t="inlineStr">
        <is>
          <t>takeaway</t>
        </is>
      </c>
      <c r="M9" s="4" t="inlineStr">
        <is>
          <t>instagram_dm</t>
        </is>
      </c>
      <c r="N9" s="4" t="inlineStr">
        <is>
          <t>AOECS</t>
        </is>
      </c>
    </row>
    <row r="10">
      <c r="A10" s="4" t="inlineStr">
        <is>
          <t>IE</t>
        </is>
      </c>
      <c r="B10" s="4" t="inlineStr">
        <is>
          <t>Irlanda</t>
        </is>
      </c>
      <c r="C10" s="4" t="inlineStr">
        <is>
          <t>ES-EX</t>
        </is>
      </c>
      <c r="D10" s="4" t="inlineStr">
        <is>
          <t>Extremadura</t>
        </is>
      </c>
      <c r="E10" s="4" t="inlineStr">
        <is>
          <t>hotel_restaurant</t>
        </is>
      </c>
      <c r="F10" s="4" t="inlineStr">
        <is>
          <t>asiatica</t>
        </is>
      </c>
      <c r="L10" s="4" t="inlineStr">
        <is>
          <t>bolt_food</t>
        </is>
      </c>
    </row>
    <row r="11">
      <c r="A11" s="4" t="inlineStr">
        <is>
          <t>NL</t>
        </is>
      </c>
      <c r="B11" s="4" t="inlineStr">
        <is>
          <t>Países Bajos</t>
        </is>
      </c>
      <c r="C11" s="4" t="inlineStr">
        <is>
          <t>ES-GA</t>
        </is>
      </c>
      <c r="D11" s="4" t="inlineStr">
        <is>
          <t>Galicia</t>
        </is>
      </c>
      <c r="E11" s="4" t="inlineStr">
        <is>
          <t>food_truck</t>
        </is>
      </c>
      <c r="F11" s="4" t="inlineStr">
        <is>
          <t>mexicana</t>
        </is>
      </c>
      <c r="L11" s="4" t="inlineStr">
        <is>
          <t>own_delivery</t>
        </is>
      </c>
    </row>
    <row r="12">
      <c r="A12" s="4" t="inlineStr">
        <is>
          <t>BE</t>
        </is>
      </c>
      <c r="B12" s="4" t="inlineStr">
        <is>
          <t>Bélgica</t>
        </is>
      </c>
      <c r="C12" s="4" t="inlineStr">
        <is>
          <t>ES-IB</t>
        </is>
      </c>
      <c r="D12" s="4" t="inlineStr">
        <is>
          <t>Illes Balears</t>
        </is>
      </c>
      <c r="E12" s="4" t="inlineStr">
        <is>
          <t>catering</t>
        </is>
      </c>
      <c r="F12" s="4" t="inlineStr">
        <is>
          <t>venezolana</t>
        </is>
      </c>
      <c r="L12" s="4" t="inlineStr">
        <is>
          <t>no_delivery</t>
        </is>
      </c>
    </row>
    <row r="13">
      <c r="A13" s="4" t="inlineStr">
        <is>
          <t>DK</t>
        </is>
      </c>
      <c r="B13" s="4" t="inlineStr">
        <is>
          <t>Dinamarca</t>
        </is>
      </c>
      <c r="C13" s="4" t="inlineStr">
        <is>
          <t>ES-RI</t>
        </is>
      </c>
      <c r="D13" s="4" t="inlineStr">
        <is>
          <t>La Rioja</t>
        </is>
      </c>
      <c r="E13" s="4" t="inlineStr">
        <is>
          <t>brunch_place</t>
        </is>
      </c>
      <c r="F13" s="4" t="inlineStr">
        <is>
          <t>internacional</t>
        </is>
      </c>
    </row>
    <row r="14">
      <c r="A14" s="4" t="inlineStr">
        <is>
          <t>SE</t>
        </is>
      </c>
      <c r="B14" s="4" t="inlineStr">
        <is>
          <t>Suecia</t>
        </is>
      </c>
      <c r="C14" s="4" t="inlineStr">
        <is>
          <t>ES-MD</t>
        </is>
      </c>
      <c r="D14" s="4" t="inlineStr">
        <is>
          <t>Comunidad de Madrid</t>
        </is>
      </c>
      <c r="E14" s="4" t="inlineStr">
        <is>
          <t>burger_joint</t>
        </is>
      </c>
      <c r="F14" s="4" t="inlineStr">
        <is>
          <t>vegana</t>
        </is>
      </c>
    </row>
    <row r="15">
      <c r="A15" s="4" t="inlineStr">
        <is>
          <t>NO</t>
        </is>
      </c>
      <c r="B15" s="4" t="inlineStr">
        <is>
          <t>Noruega</t>
        </is>
      </c>
      <c r="C15" s="4" t="inlineStr">
        <is>
          <t>ES-MC</t>
        </is>
      </c>
      <c r="D15" s="4" t="inlineStr">
        <is>
          <t>Región de Murcia</t>
        </is>
      </c>
      <c r="E15" s="4" t="inlineStr">
        <is>
          <t>asian_restaurant</t>
        </is>
      </c>
      <c r="F15" s="4" t="inlineStr">
        <is>
          <t>vegetariana</t>
        </is>
      </c>
    </row>
    <row r="16">
      <c r="A16" s="4" t="inlineStr">
        <is>
          <t>FI</t>
        </is>
      </c>
      <c r="B16" s="4" t="inlineStr">
        <is>
          <t>Finlandia</t>
        </is>
      </c>
      <c r="C16" s="4" t="inlineStr">
        <is>
          <t>ES-NC</t>
        </is>
      </c>
      <c r="D16" s="4" t="inlineStr">
        <is>
          <t>Navarra</t>
        </is>
      </c>
      <c r="F16" s="4" t="inlineStr">
        <is>
          <t>saludable</t>
        </is>
      </c>
    </row>
    <row r="17">
      <c r="A17" s="4" t="inlineStr">
        <is>
          <t>PL</t>
        </is>
      </c>
      <c r="B17" s="4" t="inlineStr">
        <is>
          <t>Polonia</t>
        </is>
      </c>
      <c r="C17" s="4" t="inlineStr">
        <is>
          <t>ES-PV</t>
        </is>
      </c>
      <c r="D17" s="4" t="inlineStr">
        <is>
          <t>País Vasco</t>
        </is>
      </c>
      <c r="F17" s="4" t="inlineStr">
        <is>
          <t>tapas</t>
        </is>
      </c>
    </row>
    <row r="18">
      <c r="A18" s="4" t="inlineStr">
        <is>
          <t>CZ</t>
        </is>
      </c>
      <c r="B18" s="4" t="inlineStr">
        <is>
          <t>Chequia</t>
        </is>
      </c>
      <c r="C18" s="4" t="inlineStr">
        <is>
          <t>ES-VC</t>
        </is>
      </c>
      <c r="D18" s="4" t="inlineStr">
        <is>
          <t>Comunidad Valenciana</t>
        </is>
      </c>
      <c r="F18" s="4" t="inlineStr">
        <is>
          <t>arroces</t>
        </is>
      </c>
    </row>
    <row r="19">
      <c r="C19" s="4" t="inlineStr">
        <is>
          <t>ES-CE</t>
        </is>
      </c>
      <c r="D19" s="4" t="inlineStr">
        <is>
          <t>Ceuta</t>
        </is>
      </c>
      <c r="F19" s="4" t="inlineStr">
        <is>
          <t>pizzas</t>
        </is>
      </c>
    </row>
    <row r="20">
      <c r="C20" s="4" t="inlineStr">
        <is>
          <t>ES-ML</t>
        </is>
      </c>
      <c r="D20" s="4" t="inlineStr">
        <is>
          <t>Melilla</t>
        </is>
      </c>
      <c r="F20" s="4" t="inlineStr">
        <is>
          <t>pasta</t>
        </is>
      </c>
    </row>
    <row r="21">
      <c r="F21" s="4" t="inlineStr">
        <is>
          <t>hamburguesas</t>
        </is>
      </c>
    </row>
    <row r="22">
      <c r="F22" s="4" t="inlineStr">
        <is>
          <t>sushi</t>
        </is>
      </c>
    </row>
    <row r="23">
      <c r="F23" s="4" t="inlineStr">
        <is>
          <t>brasileña</t>
        </is>
      </c>
    </row>
    <row r="24">
      <c r="F24" s="4" t="inlineStr">
        <is>
          <t>tailandesa</t>
        </is>
      </c>
    </row>
    <row r="25">
      <c r="F25" s="4" t="inlineStr">
        <is>
          <t>china</t>
        </is>
      </c>
    </row>
    <row r="26">
      <c r="F26" s="4" t="inlineStr">
        <is>
          <t>francesa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108"/>
  <sheetViews>
    <sheetView workbookViewId="0">
      <pane ySplit="1" topLeftCell="A80" activePane="bottomLeft" state="frozen"/>
      <selection pane="bottomLeft" activeCell="A1" sqref="A1"/>
    </sheetView>
  </sheetViews>
  <sheetFormatPr baseColWidth="10" defaultColWidth="9.140625" defaultRowHeight="15"/>
  <cols>
    <col width="14" customWidth="1" min="1" max="1"/>
    <col width="32" customWidth="1" min="2" max="3"/>
    <col width="10" customWidth="1" min="4" max="4"/>
    <col width="12" customWidth="1" min="5" max="5"/>
    <col width="22" customWidth="1" min="6" max="6"/>
    <col width="18" customWidth="1" min="7" max="7"/>
    <col width="22" customWidth="1" min="8" max="8"/>
    <col width="18" customWidth="1" min="9" max="9"/>
    <col width="10" customWidth="1" min="10" max="10"/>
    <col width="38" customWidth="1" min="11" max="11"/>
    <col width="12" customWidth="1" min="12" max="13"/>
    <col width="14" customWidth="1" min="14" max="14"/>
    <col width="28" customWidth="1" min="15" max="15"/>
    <col width="10" customWidth="1" min="16" max="16"/>
    <col width="22" customWidth="1" min="17" max="18"/>
    <col width="16" customWidth="1" min="19" max="19"/>
    <col width="14" customWidth="1" min="20" max="20"/>
    <col width="28" customWidth="1" min="21" max="21"/>
    <col width="40" customWidth="1" min="22" max="22"/>
    <col width="32" customWidth="1" min="23" max="23"/>
    <col width="8" customWidth="1" min="24" max="25"/>
    <col width="22" customWidth="1" min="26" max="26"/>
    <col width="18" customWidth="1" min="27" max="28"/>
    <col width="28" customWidth="1" min="29" max="29"/>
    <col width="36" customWidth="1" min="30" max="30"/>
    <col width="22" customWidth="1" min="31" max="31"/>
    <col width="28" customWidth="1" min="32" max="32"/>
    <col width="30" customWidth="1" min="33" max="33"/>
    <col width="22" customWidth="1" min="34" max="34"/>
    <col width="44" customWidth="1" min="35" max="37"/>
    <col width="36" customWidth="1" min="38" max="38"/>
    <col width="18" customWidth="1" min="39" max="39"/>
    <col width="50" customWidth="1" min="40" max="40"/>
    <col width="14" customWidth="1" min="41" max="42"/>
  </cols>
  <sheetData>
    <row r="1" ht="32.1" customHeight="1">
      <c r="A1" s="3" t="inlineStr">
        <is>
          <t>id</t>
        </is>
      </c>
      <c r="B1" s="3" t="inlineStr">
        <is>
          <t>name</t>
        </is>
      </c>
      <c r="C1" s="3" t="inlineStr">
        <is>
          <t>slug</t>
        </is>
      </c>
      <c r="D1" s="3" t="inlineStr">
        <is>
          <t>country_code</t>
        </is>
      </c>
      <c r="E1" s="3" t="inlineStr">
        <is>
          <t>region_code</t>
        </is>
      </c>
      <c r="F1" s="3" t="inlineStr">
        <is>
          <t>region_name</t>
        </is>
      </c>
      <c r="G1" s="3" t="inlineStr">
        <is>
          <t>province</t>
        </is>
      </c>
      <c r="H1" s="3" t="inlineStr">
        <is>
          <t>city</t>
        </is>
      </c>
      <c r="I1" s="3" t="inlineStr">
        <is>
          <t>district</t>
        </is>
      </c>
      <c r="J1" s="3" t="inlineStr">
        <is>
          <t>postal_code</t>
        </is>
      </c>
      <c r="K1" s="3" t="inlineStr">
        <is>
          <t>address_street</t>
        </is>
      </c>
      <c r="L1" s="3" t="inlineStr">
        <is>
          <t>latitude</t>
        </is>
      </c>
      <c r="M1" s="3" t="inlineStr">
        <is>
          <t>longitude</t>
        </is>
      </c>
      <c r="N1" s="3" t="inlineStr">
        <is>
          <t>venue_type</t>
        </is>
      </c>
      <c r="O1" s="3" t="inlineStr">
        <is>
          <t>cuisine_types</t>
        </is>
      </c>
      <c r="P1" s="3" t="inlineStr">
        <is>
          <t>price_range</t>
        </is>
      </c>
      <c r="Q1" s="3" t="inlineStr">
        <is>
          <t>meal_types</t>
        </is>
      </c>
      <c r="R1" s="3" t="inlineStr">
        <is>
          <t>verification_status</t>
        </is>
      </c>
      <c r="S1" s="3" t="inlineStr">
        <is>
          <t>verified_by</t>
        </is>
      </c>
      <c r="T1" s="3" t="inlineStr">
        <is>
          <t>last_verified_at</t>
        </is>
      </c>
      <c r="U1" s="3" t="inlineStr">
        <is>
          <t>verification_methods</t>
        </is>
      </c>
      <c r="V1" s="3" t="inlineStr">
        <is>
          <t>verification_notes</t>
        </is>
      </c>
      <c r="W1" s="3" t="inlineStr">
        <is>
          <t>rejection_reason</t>
        </is>
      </c>
      <c r="X1" s="3" t="inlineStr">
        <is>
          <t>face_program</t>
        </is>
      </c>
      <c r="Y1" s="3" t="inlineStr">
        <is>
          <t>aoecs_certified</t>
        </is>
      </c>
      <c r="Z1" s="3" t="inlineStr">
        <is>
          <t>national_authority</t>
        </is>
      </c>
      <c r="AA1" s="3" t="inlineStr">
        <is>
          <t>phone</t>
        </is>
      </c>
      <c r="AB1" s="3" t="inlineStr">
        <is>
          <t>whatsapp</t>
        </is>
      </c>
      <c r="AC1" s="3" t="inlineStr">
        <is>
          <t>email</t>
        </is>
      </c>
      <c r="AD1" s="3" t="inlineStr">
        <is>
          <t>website</t>
        </is>
      </c>
      <c r="AE1" s="3" t="inlineStr">
        <is>
          <t>instagram</t>
        </is>
      </c>
      <c r="AF1" s="3" t="inlineStr">
        <is>
          <t>facebook</t>
        </is>
      </c>
      <c r="AG1" s="3" t="inlineStr">
        <is>
          <t>opening_hours</t>
        </is>
      </c>
      <c r="AH1" s="3" t="inlineStr">
        <is>
          <t>seasonal_closure</t>
        </is>
      </c>
      <c r="AI1" s="3" t="inlineStr">
        <is>
          <t>description_es</t>
        </is>
      </c>
      <c r="AJ1" s="3" t="inlineStr">
        <is>
          <t>description_en</t>
        </is>
      </c>
      <c r="AK1" s="3" t="inlineStr">
        <is>
          <t>description_de</t>
        </is>
      </c>
      <c r="AL1" s="3" t="inlineStr">
        <is>
          <t>featured_image_url</t>
        </is>
      </c>
      <c r="AM1" s="3" t="inlineStr">
        <is>
          <t>data_source_type</t>
        </is>
      </c>
      <c r="AN1" s="3" t="inlineStr">
        <is>
          <t>data_source_notes</t>
        </is>
      </c>
      <c r="AO1" s="3" t="inlineStr">
        <is>
          <t>created_at</t>
        </is>
      </c>
      <c r="AP1" s="3" t="inlineStr">
        <is>
          <t>updated_at</t>
        </is>
      </c>
    </row>
    <row r="2" ht="80.09999999999999" customHeight="1">
      <c r="A2" s="5" t="inlineStr">
        <is>
          <t>es_ib_001</t>
        </is>
      </c>
      <c r="B2" s="5" t="inlineStr">
        <is>
          <t>Avocado Mallorca</t>
        </is>
      </c>
      <c r="C2" s="5" t="inlineStr">
        <is>
          <t>avocado-mallorca-palma</t>
        </is>
      </c>
      <c r="D2" s="5" t="inlineStr">
        <is>
          <t>ES</t>
        </is>
      </c>
      <c r="E2" s="5" t="inlineStr">
        <is>
          <t>ES-IB</t>
        </is>
      </c>
      <c r="F2" s="5" t="inlineStr">
        <is>
          <t>Illes Balears</t>
        </is>
      </c>
      <c r="G2" s="5" t="inlineStr">
        <is>
          <t>Mallorca</t>
        </is>
      </c>
      <c r="H2" s="5" t="inlineStr">
        <is>
          <t>Palma de Mallorca</t>
        </is>
      </c>
      <c r="I2" s="5" t="inlineStr">
        <is>
          <t>Cala Major</t>
        </is>
      </c>
      <c r="J2" s="5" t="inlineStr">
        <is>
          <t>07015</t>
        </is>
      </c>
      <c r="K2" s="5" t="inlineStr">
        <is>
          <t>Avinguda Joan Miró, 279</t>
        </is>
      </c>
      <c r="L2" s="5" t="n">
        <v>39.553688</v>
      </c>
      <c r="M2" s="5" t="n">
        <v>2.605564</v>
      </c>
      <c r="N2" s="5" t="inlineStr">
        <is>
          <t>brunch_place</t>
        </is>
      </c>
      <c r="O2" s="5" t="inlineStr">
        <is>
          <t>saludable, vegana, internacional</t>
        </is>
      </c>
      <c r="P2" s="5" t="inlineStr">
        <is>
          <t>€€</t>
        </is>
      </c>
      <c r="Q2" s="5" t="inlineStr">
        <is>
          <t>breakfast, brunch, lunch</t>
        </is>
      </c>
      <c r="R2" s="6" t="inlineStr">
        <is>
          <t>pending_verification</t>
        </is>
      </c>
      <c r="S2" s="5" t="n"/>
      <c r="T2" s="5" t="n"/>
      <c r="U2" s="5" t="n"/>
      <c r="V2" s="5" t="inlineStr">
        <is>
          <t>Laut eigener Webseite und ACSG Madrid: 'Toda la carta es sin gluten' + FACE-zertifiziert. Plant-based, Chef Leonardo Simoni. Reservierung läuft über externes System (restaurantlogin.com). PRÜFEN: Status weiterhin 100% GF + FACE-aktuell?</t>
        </is>
      </c>
      <c r="W2" s="5" t="n"/>
      <c r="X2" s="5" t="b">
        <v>1</v>
      </c>
      <c r="Y2" s="5" t="b">
        <v>0</v>
      </c>
      <c r="Z2" s="5" t="inlineStr">
        <is>
          <t>FACE, Celiacs Balears</t>
        </is>
      </c>
      <c r="AA2" s="5" t="inlineStr">
        <is>
          <t>+34871532073</t>
        </is>
      </c>
      <c r="AB2" s="5" t="n"/>
      <c r="AC2" s="5" t="inlineStr">
        <is>
          <t>avocadomallorca@gmail.com</t>
        </is>
      </c>
      <c r="AD2" s="5" t="inlineStr">
        <is>
          <t>https://www.avocadomallorca.com</t>
        </is>
      </c>
      <c r="AE2" s="5" t="inlineStr">
        <is>
          <t>@avocadomallorca</t>
        </is>
      </c>
      <c r="AF2" s="5" t="n"/>
      <c r="AG2" s="5" t="n"/>
      <c r="AH2" s="5" t="n"/>
      <c r="AI2" s="5" t="inlineStr">
        <is>
          <t>Restaurante 100% libre de gluten, plant-based, certificado por FACE. Brunch saludable en Cala Major.</t>
        </is>
      </c>
      <c r="AJ2" s="5" t="inlineStr">
        <is>
          <t>100% gluten-free restaurant, plant-based, FACE-certified. Healthy brunch in Cala Major.</t>
        </is>
      </c>
      <c r="AK2" s="5" t="inlineStr">
        <is>
          <t>100% glutenfreies Restaurant, pflanzenbasiert, FACE-zertifiziert. Gesundes Brunch in Cala Major.</t>
        </is>
      </c>
      <c r="AL2" s="5" t="n"/>
      <c r="AM2" s="5" t="inlineStr">
        <is>
          <t>official_website</t>
        </is>
      </c>
      <c r="AN2" s="5" t="inlineStr">
        <is>
          <t>https://www.avocadomallorca.es/ + https://www.celiacosmadrid.org/comer-sin-gluten/establecimientos/?provincia=Islas+Baleares (Stand 04/2026)</t>
        </is>
      </c>
      <c r="AO2" s="5" t="inlineStr">
        <is>
          <t>2026-04-25</t>
        </is>
      </c>
      <c r="AP2" s="5" t="inlineStr">
        <is>
          <t>2026-04-25</t>
        </is>
      </c>
    </row>
    <row r="3" ht="80.09999999999999" customHeight="1">
      <c r="A3" s="5" t="inlineStr">
        <is>
          <t>es_ib_002</t>
        </is>
      </c>
      <c r="B3" s="5" t="inlineStr">
        <is>
          <t>Bolixe</t>
        </is>
      </c>
      <c r="C3" s="5" t="inlineStr">
        <is>
          <t>bolixe-palma</t>
        </is>
      </c>
      <c r="D3" s="5" t="inlineStr">
        <is>
          <t>ES</t>
        </is>
      </c>
      <c r="E3" s="5" t="inlineStr">
        <is>
          <t>ES-IB</t>
        </is>
      </c>
      <c r="F3" s="5" t="inlineStr">
        <is>
          <t>Illes Balears</t>
        </is>
      </c>
      <c r="G3" s="5" t="inlineStr">
        <is>
          <t>Mallorca</t>
        </is>
      </c>
      <c r="H3" s="5" t="inlineStr">
        <is>
          <t>Palma de Mallorca</t>
        </is>
      </c>
      <c r="I3" s="5" t="n"/>
      <c r="J3" s="5" t="inlineStr">
        <is>
          <t>07004</t>
        </is>
      </c>
      <c r="K3" s="5" t="inlineStr">
        <is>
          <t>C/ Eusebi Estada, 33</t>
        </is>
      </c>
      <c r="L3" s="5" t="n">
        <v>39.582322</v>
      </c>
      <c r="M3" s="5" t="n">
        <v>2.674332</v>
      </c>
      <c r="N3" s="5" t="inlineStr">
        <is>
          <t>restaurant</t>
        </is>
      </c>
      <c r="O3" s="5" t="inlineStr">
        <is>
          <t>mediterranea, espanola</t>
        </is>
      </c>
      <c r="P3" s="5" t="inlineStr">
        <is>
          <t>€€</t>
        </is>
      </c>
      <c r="Q3" s="5" t="inlineStr">
        <is>
          <t>lunch, dinner</t>
        </is>
      </c>
      <c r="R3" s="6" t="inlineStr">
        <is>
          <t>pending_verification</t>
        </is>
      </c>
      <c r="S3" s="5" t="n"/>
      <c r="T3" s="5" t="n"/>
      <c r="U3" s="5" t="n"/>
      <c r="V3" s="5" t="inlineStr">
        <is>
          <t>Im ACSG-Madrid-Verzeichnis als 'Avalado 100%' (= komplett 100% GF) gelistet. PRÜFEN: anrufen, Status bestätigen.</t>
        </is>
      </c>
      <c r="W3" s="5" t="n"/>
      <c r="X3" s="5" t="b">
        <v>1</v>
      </c>
      <c r="Y3" s="5" t="b">
        <v>0</v>
      </c>
      <c r="Z3" s="5" t="inlineStr">
        <is>
          <t>FACE</t>
        </is>
      </c>
      <c r="AA3" s="5" t="inlineStr">
        <is>
          <t>+34871949447</t>
        </is>
      </c>
      <c r="AB3" s="5" t="n"/>
      <c r="AC3" s="5" t="inlineStr">
        <is>
          <t>reservas@bolixe.com</t>
        </is>
      </c>
      <c r="AD3" s="5" t="inlineStr">
        <is>
          <t>https://www.bolixe.com</t>
        </is>
      </c>
      <c r="AE3" s="5" t="n"/>
      <c r="AF3" s="5" t="n"/>
      <c r="AG3" s="5" t="n"/>
      <c r="AH3" s="5" t="n"/>
      <c r="AI3" s="5" t="inlineStr">
        <is>
          <t>Restaurante mediterráneo 100% sin gluten en Palma.</t>
        </is>
      </c>
      <c r="AJ3" s="5" t="inlineStr">
        <is>
          <t>100% gluten-free Mediterranean restaurant in Palma.</t>
        </is>
      </c>
      <c r="AK3" s="5" t="inlineStr">
        <is>
          <t>100% glutenfreies mediterranes Restaurant in Palma.</t>
        </is>
      </c>
      <c r="AL3" s="5" t="n"/>
      <c r="AM3" s="5" t="inlineStr">
        <is>
          <t>regional_association</t>
        </is>
      </c>
      <c r="AN3" s="5" t="inlineStr">
        <is>
          <t>ACSG Madrid Verzeichnis (celiacosmadrid.org), Stand 04/2026</t>
        </is>
      </c>
      <c r="AO3" s="5" t="inlineStr">
        <is>
          <t>2026-04-25</t>
        </is>
      </c>
      <c r="AP3" s="5" t="inlineStr">
        <is>
          <t>2026-04-25</t>
        </is>
      </c>
    </row>
    <row r="4" ht="80.09999999999999" customHeight="1">
      <c r="A4" s="5" t="inlineStr">
        <is>
          <t>es_ib_003</t>
        </is>
      </c>
      <c r="B4" s="5" t="inlineStr">
        <is>
          <t>Celicidad — Lokal Llevant</t>
        </is>
      </c>
      <c r="C4" s="5" t="inlineStr">
        <is>
          <t>celicidad-palma-llevant</t>
        </is>
      </c>
      <c r="D4" s="5" t="inlineStr">
        <is>
          <t>ES</t>
        </is>
      </c>
      <c r="E4" s="5" t="inlineStr">
        <is>
          <t>ES-IB</t>
        </is>
      </c>
      <c r="F4" s="5" t="inlineStr">
        <is>
          <t>Illes Balears</t>
        </is>
      </c>
      <c r="G4" s="5" t="inlineStr">
        <is>
          <t>Mallorca</t>
        </is>
      </c>
      <c r="H4" s="5" t="inlineStr">
        <is>
          <t>Palma de Mallorca</t>
        </is>
      </c>
      <c r="I4" s="5" t="inlineStr">
        <is>
          <t>Llevant</t>
        </is>
      </c>
      <c r="J4" s="5" t="inlineStr">
        <is>
          <t>07005</t>
        </is>
      </c>
      <c r="K4" s="5" t="inlineStr">
        <is>
          <t>C. de Costa i Llobera, 24</t>
        </is>
      </c>
      <c r="L4" s="5" t="n">
        <v>39.575177</v>
      </c>
      <c r="M4" s="5" t="n">
        <v>2.657807</v>
      </c>
      <c r="N4" s="5" t="inlineStr">
        <is>
          <t>pizzeria</t>
        </is>
      </c>
      <c r="O4" s="5" t="inlineStr">
        <is>
          <t>italiana, pizzas</t>
        </is>
      </c>
      <c r="P4" s="5" t="inlineStr">
        <is>
          <t>€€</t>
        </is>
      </c>
      <c r="Q4" s="5" t="inlineStr">
        <is>
          <t>lunch, dinner</t>
        </is>
      </c>
      <c r="R4" s="6" t="inlineStr">
        <is>
          <t>pending_verification</t>
        </is>
      </c>
      <c r="S4" s="5" t="n"/>
      <c r="T4" s="5" t="n"/>
      <c r="U4" s="5" t="n"/>
      <c r="V4" s="5" t="inlineStr">
        <is>
          <t>Quelle Celicidad: 'Masa 100% sin gluten, avalado por FACE. Carta totalmente adaptada'. PRÜFEN: ist 'masa 100% GF' identisch mit 'Lokal 100% GF'? Möglicherweise Mischbetrieb mit GF-Karte. Klärungsbedarf!</t>
        </is>
      </c>
      <c r="W4" s="5" t="n"/>
      <c r="X4" s="5" t="b">
        <v>1</v>
      </c>
      <c r="Y4" s="5" t="b">
        <v>0</v>
      </c>
      <c r="Z4" s="5" t="inlineStr">
        <is>
          <t>FACE</t>
        </is>
      </c>
      <c r="AA4" s="5" t="n"/>
      <c r="AB4" s="5" t="n"/>
      <c r="AC4" s="5" t="n"/>
      <c r="AD4" s="5" t="n"/>
      <c r="AE4" s="5" t="n"/>
      <c r="AF4" s="5" t="n"/>
      <c r="AG4" s="5" t="n"/>
      <c r="AH4" s="5" t="n"/>
      <c r="AI4" s="5" t="inlineStr">
        <is>
          <t>Pizzería con masa 100% sin gluten, avalada por FACE.</t>
        </is>
      </c>
      <c r="AJ4" s="5" t="inlineStr">
        <is>
          <t>Pizzeria with 100% gluten-free dough, FACE-endorsed.</t>
        </is>
      </c>
      <c r="AK4" s="5" t="inlineStr">
        <is>
          <t>Pizzeria mit 100% glutenfreiem Teig, FACE-zertifiziert.</t>
        </is>
      </c>
      <c r="AL4" s="5" t="n"/>
      <c r="AM4" s="5" t="inlineStr">
        <is>
          <t>blog_research</t>
        </is>
      </c>
      <c r="AN4" s="5" t="inlineStr">
        <is>
          <t>https://restaurantes.celicidad.net/ciudad/palma — UNKLAR ob ganzes Lokal oder nur Pizzateig 100% GF. Verifizierung dringend.</t>
        </is>
      </c>
      <c r="AO4" s="5" t="inlineStr">
        <is>
          <t>2026-04-25</t>
        </is>
      </c>
      <c r="AP4" s="5" t="inlineStr">
        <is>
          <t>2026-04-25</t>
        </is>
      </c>
    </row>
    <row r="5" ht="80.09999999999999" customHeight="1">
      <c r="A5" s="5" t="inlineStr">
        <is>
          <t>es_ib_004</t>
        </is>
      </c>
      <c r="B5" s="5" t="inlineStr">
        <is>
          <t>IRU Restaurant</t>
        </is>
      </c>
      <c r="C5" s="5" t="inlineStr">
        <is>
          <t>iru-restaurant-palma</t>
        </is>
      </c>
      <c r="D5" s="5" t="inlineStr">
        <is>
          <t>ES</t>
        </is>
      </c>
      <c r="E5" s="5" t="inlineStr">
        <is>
          <t>ES-IB</t>
        </is>
      </c>
      <c r="F5" s="5" t="inlineStr">
        <is>
          <t>Illes Balears</t>
        </is>
      </c>
      <c r="G5" s="5" t="inlineStr">
        <is>
          <t>Mallorca</t>
        </is>
      </c>
      <c r="H5" s="5" t="inlineStr">
        <is>
          <t>Palma de Mallorca</t>
        </is>
      </c>
      <c r="I5" s="5" t="n"/>
      <c r="J5" s="5" t="n"/>
      <c r="K5" s="5" t="n"/>
      <c r="L5" s="5" t="n">
        <v>39.582322</v>
      </c>
      <c r="M5" s="5" t="n">
        <v>2.674332</v>
      </c>
      <c r="N5" s="5" t="inlineStr">
        <is>
          <t>restaurant</t>
        </is>
      </c>
      <c r="O5" s="5" t="inlineStr">
        <is>
          <t>mediterranea, mallorquina, arroces</t>
        </is>
      </c>
      <c r="P5" s="5" t="inlineStr">
        <is>
          <t>€€€</t>
        </is>
      </c>
      <c r="Q5" s="5" t="inlineStr">
        <is>
          <t>lunch, dinner</t>
        </is>
      </c>
      <c r="R5" s="6" t="inlineStr">
        <is>
          <t>pending_verification</t>
        </is>
      </c>
      <c r="S5" s="5" t="n"/>
      <c r="T5" s="5" t="n"/>
      <c r="U5" s="5" t="n"/>
      <c r="V5" s="5" t="inlineStr">
        <is>
          <t>Celiaquita-Quelle beschreibt als 'uno de los mejores restaurantes y más preparados sin gluten de todo Mallorca' mit ausführlicher GF-Karte. UNKLAR ob 100% GF — möglicherweise Mischbetrieb mit umfangreicher GF-Karte. Klärungsbedarf!</t>
        </is>
      </c>
      <c r="W5" s="5" t="n"/>
      <c r="X5" s="5" t="b">
        <v>0</v>
      </c>
      <c r="Y5" s="5" t="b">
        <v>0</v>
      </c>
      <c r="Z5" s="5" t="inlineStr">
        <is>
          <t>Celiacs Balears</t>
        </is>
      </c>
      <c r="AA5" s="5" t="n"/>
      <c r="AB5" s="5" t="n"/>
      <c r="AC5" s="5" t="n"/>
      <c r="AD5" s="5" t="n"/>
      <c r="AE5" s="5" t="n"/>
      <c r="AF5" s="5" t="n"/>
      <c r="AG5" s="5" t="n"/>
      <c r="AH5" s="5" t="n"/>
      <c r="AI5" s="5" t="n"/>
      <c r="AJ5" s="5" t="n"/>
      <c r="AK5" s="5" t="n"/>
      <c r="AL5" s="5" t="n"/>
      <c r="AM5" s="5" t="inlineStr">
        <is>
          <t>blog_research</t>
        </is>
      </c>
      <c r="AN5" s="5" t="inlineStr">
        <is>
          <t>https://www.celiaquita.com/restaurantes-sin-gluten-mallorca/ (Stand 05/2025) — Status 100% UNKLAR.</t>
        </is>
      </c>
      <c r="AO5" s="5" t="inlineStr">
        <is>
          <t>2026-04-25</t>
        </is>
      </c>
      <c r="AP5" s="5" t="inlineStr">
        <is>
          <t>2026-04-25</t>
        </is>
      </c>
    </row>
    <row r="6" ht="80.09999999999999" customHeight="1">
      <c r="A6" s="5" t="inlineStr">
        <is>
          <t>es_ib_005</t>
        </is>
      </c>
      <c r="B6" s="5" t="inlineStr">
        <is>
          <t>Gluten Free Café (Palma)</t>
        </is>
      </c>
      <c r="C6" s="5" t="inlineStr">
        <is>
          <t>gluten-free-cafe-palma</t>
        </is>
      </c>
      <c r="D6" s="5" t="inlineStr">
        <is>
          <t>ES</t>
        </is>
      </c>
      <c r="E6" s="5" t="inlineStr">
        <is>
          <t>ES-IB</t>
        </is>
      </c>
      <c r="F6" s="5" t="inlineStr">
        <is>
          <t>Illes Balears</t>
        </is>
      </c>
      <c r="G6" s="5" t="inlineStr">
        <is>
          <t>Mallorca</t>
        </is>
      </c>
      <c r="H6" s="5" t="inlineStr">
        <is>
          <t>Palma de Mallorca</t>
        </is>
      </c>
      <c r="I6" s="5" t="n"/>
      <c r="J6" s="5" t="n"/>
      <c r="K6" s="5" t="n"/>
      <c r="L6" s="5" t="n">
        <v>39.582322</v>
      </c>
      <c r="M6" s="5" t="n">
        <v>2.674332</v>
      </c>
      <c r="N6" s="5" t="inlineStr">
        <is>
          <t>cafe</t>
        </is>
      </c>
      <c r="O6" s="5" t="inlineStr">
        <is>
          <t>saludable</t>
        </is>
      </c>
      <c r="P6" s="5" t="inlineStr">
        <is>
          <t>€€</t>
        </is>
      </c>
      <c r="Q6" s="5" t="inlineStr">
        <is>
          <t>breakfast, brunch</t>
        </is>
      </c>
      <c r="R6" s="6" t="inlineStr">
        <is>
          <t>pending_verification</t>
        </is>
      </c>
      <c r="S6" s="5" t="n"/>
      <c r="T6" s="5" t="n"/>
      <c r="U6" s="5" t="n"/>
      <c r="V6" s="5" t="inlineStr">
        <is>
          <t>CeliNews erwähnt 'cafetería 100% sin gluten ideal para desayunar o merendar'. Konkreter Name &amp; Adresse RECHERCHIEREN auf celinews.com/mallorca-sin-gluten-para-celiacos/.</t>
        </is>
      </c>
      <c r="W6" s="5" t="n"/>
      <c r="X6" s="5" t="b">
        <v>0</v>
      </c>
      <c r="Y6" s="5" t="b">
        <v>0</v>
      </c>
      <c r="Z6" s="5" t="inlineStr">
        <is>
          <t>Celiacs Balears</t>
        </is>
      </c>
      <c r="AA6" s="5" t="n"/>
      <c r="AB6" s="5" t="n"/>
      <c r="AC6" s="5" t="n"/>
      <c r="AD6" s="5" t="n"/>
      <c r="AE6" s="5" t="n"/>
      <c r="AF6" s="5" t="n"/>
      <c r="AG6" s="5" t="n"/>
      <c r="AH6" s="5" t="n"/>
      <c r="AI6" s="5" t="n"/>
      <c r="AJ6" s="5" t="n"/>
      <c r="AK6" s="5" t="n"/>
      <c r="AL6" s="5" t="n"/>
      <c r="AM6" s="5" t="inlineStr">
        <is>
          <t>blog_research</t>
        </is>
      </c>
      <c r="AN6" s="5" t="inlineStr">
        <is>
          <t>https://celinews.com/mallorca-sin-gluten-para-celiacos/ — Name unvollständig erfasst, Recherche nötig.</t>
        </is>
      </c>
      <c r="AO6" s="5" t="inlineStr">
        <is>
          <t>2026-04-25</t>
        </is>
      </c>
      <c r="AP6" s="5" t="inlineStr">
        <is>
          <t>2026-04-25</t>
        </is>
      </c>
    </row>
    <row r="7" ht="80.09999999999999" customHeight="1">
      <c r="A7" s="5" t="inlineStr">
        <is>
          <t>es_md_001</t>
        </is>
      </c>
      <c r="B7" s="5" t="inlineStr">
        <is>
          <t>As de Bastos</t>
        </is>
      </c>
      <c r="C7" s="5" t="inlineStr">
        <is>
          <t>as-de-bastos-madrid</t>
        </is>
      </c>
      <c r="D7" s="5" t="inlineStr">
        <is>
          <t>ES</t>
        </is>
      </c>
      <c r="E7" s="5" t="inlineStr">
        <is>
          <t>ES-MD</t>
        </is>
      </c>
      <c r="F7" s="5" t="inlineStr">
        <is>
          <t>Comunidad de Madrid</t>
        </is>
      </c>
      <c r="G7" s="5" t="inlineStr">
        <is>
          <t>Madrid</t>
        </is>
      </c>
      <c r="H7" s="5" t="inlineStr">
        <is>
          <t>Madrid</t>
        </is>
      </c>
      <c r="I7" s="5" t="n"/>
      <c r="J7" s="5" t="inlineStr">
        <is>
          <t>28039</t>
        </is>
      </c>
      <c r="K7" s="5" t="inlineStr">
        <is>
          <t>Calle Castilla, 62</t>
        </is>
      </c>
      <c r="L7" s="5" t="n">
        <v>40.453183</v>
      </c>
      <c r="M7" s="5" t="n">
        <v>-3.707916</v>
      </c>
      <c r="N7" s="5" t="inlineStr">
        <is>
          <t>restaurant</t>
        </is>
      </c>
      <c r="O7" s="5" t="inlineStr">
        <is>
          <t>mediterranea, espanola</t>
        </is>
      </c>
      <c r="P7" s="5" t="inlineStr">
        <is>
          <t>€€</t>
        </is>
      </c>
      <c r="Q7" s="5" t="inlineStr">
        <is>
          <t>lunch, dinner</t>
        </is>
      </c>
      <c r="R7" s="6" t="inlineStr">
        <is>
          <t>pending_verification</t>
        </is>
      </c>
      <c r="S7" s="5" t="n"/>
      <c r="T7" s="5" t="n"/>
      <c r="U7" s="5" t="n"/>
      <c r="V7" s="5" t="inlineStr">
        <is>
          <t>Mehrfach als '100% sin gluten' bestätigt (ACSG, Madrid Secreto, Saborea Madrid). Inhaber selbst Zöliakie-Betroffener. Standorte: Castilla 62 + Majadahonda. PRÜFEN: aktueller Status.</t>
        </is>
      </c>
      <c r="W7" s="5" t="n"/>
      <c r="X7" s="5" t="b">
        <v>1</v>
      </c>
      <c r="Y7" s="5" t="b">
        <v>0</v>
      </c>
      <c r="Z7" s="5" t="inlineStr">
        <is>
          <t>FACE, ACSG Madrid</t>
        </is>
      </c>
      <c r="AA7" s="5" t="inlineStr">
        <is>
          <t>+34917957855</t>
        </is>
      </c>
      <c r="AB7" s="5" t="n"/>
      <c r="AC7" s="5" t="inlineStr">
        <is>
          <t>info@asdebastos.es</t>
        </is>
      </c>
      <c r="AD7" s="5" t="inlineStr">
        <is>
          <t>https://www.asdebastos.es</t>
        </is>
      </c>
      <c r="AE7" s="5" t="n"/>
      <c r="AF7" s="5" t="n"/>
      <c r="AG7" s="5" t="n"/>
      <c r="AH7" s="5" t="n"/>
      <c r="AI7" s="5" t="inlineStr">
        <is>
          <t>Restaurante mediterráneo 100% sin gluten. Carta completa adaptada para celíacos.</t>
        </is>
      </c>
      <c r="AJ7" s="5" t="inlineStr">
        <is>
          <t>100% gluten-free Mediterranean restaurant. Full menu for coeliacs.</t>
        </is>
      </c>
      <c r="AK7" s="5" t="inlineStr">
        <is>
          <t>100% glutenfreies mediterranes Restaurant mit vollständiger GF-Karte.</t>
        </is>
      </c>
      <c r="AL7" s="5" t="n"/>
      <c r="AM7" s="5" t="inlineStr">
        <is>
          <t>regional_association</t>
        </is>
      </c>
      <c r="AN7" s="5" t="inlineStr">
        <is>
          <t>ACSG Madrid + saborea-madrid.com + madridsecreto.co (Stand 2025-2026)</t>
        </is>
      </c>
      <c r="AO7" s="5" t="inlineStr">
        <is>
          <t>2026-04-25</t>
        </is>
      </c>
      <c r="AP7" s="5" t="inlineStr">
        <is>
          <t>2026-04-25</t>
        </is>
      </c>
    </row>
    <row r="8" ht="80.09999999999999" customHeight="1">
      <c r="A8" s="5" t="inlineStr">
        <is>
          <t>es_md_002</t>
        </is>
      </c>
      <c r="B8" s="5" t="inlineStr">
        <is>
          <t>As de Bastos Majadahonda</t>
        </is>
      </c>
      <c r="C8" s="5" t="inlineStr">
        <is>
          <t>as-de-bastos-majadahonda</t>
        </is>
      </c>
      <c r="D8" s="5" t="inlineStr">
        <is>
          <t>ES</t>
        </is>
      </c>
      <c r="E8" s="5" t="inlineStr">
        <is>
          <t>ES-MD</t>
        </is>
      </c>
      <c r="F8" s="5" t="inlineStr">
        <is>
          <t>Comunidad de Madrid</t>
        </is>
      </c>
      <c r="G8" s="5" t="inlineStr">
        <is>
          <t>Madrid</t>
        </is>
      </c>
      <c r="H8" s="5" t="inlineStr">
        <is>
          <t>Majadahonda</t>
        </is>
      </c>
      <c r="I8" s="5" t="n"/>
      <c r="J8" s="5" t="inlineStr">
        <is>
          <t>28220</t>
        </is>
      </c>
      <c r="K8" s="5" t="inlineStr">
        <is>
          <t>Calle Dr. Bastos, 9</t>
        </is>
      </c>
      <c r="L8" s="5" t="n">
        <v>40.472842</v>
      </c>
      <c r="M8" s="5" t="n">
        <v>-3.872354</v>
      </c>
      <c r="N8" s="5" t="inlineStr">
        <is>
          <t>restaurant</t>
        </is>
      </c>
      <c r="O8" s="5" t="inlineStr">
        <is>
          <t>mediterranea, espanola</t>
        </is>
      </c>
      <c r="P8" s="5" t="inlineStr">
        <is>
          <t>€€</t>
        </is>
      </c>
      <c r="Q8" s="5" t="inlineStr">
        <is>
          <t>lunch, dinner</t>
        </is>
      </c>
      <c r="R8" s="6" t="inlineStr">
        <is>
          <t>pending_verification</t>
        </is>
      </c>
      <c r="S8" s="5" t="n"/>
      <c r="T8" s="5" t="n"/>
      <c r="U8" s="5" t="n"/>
      <c r="V8" s="5" t="inlineStr">
        <is>
          <t>Filiale von As de Bastos in Majadahonda. ACSG-Quelle: 'Avalado 100%, A domicilio'. PRÜFEN.</t>
        </is>
      </c>
      <c r="W8" s="5" t="n"/>
      <c r="X8" s="5" t="b">
        <v>1</v>
      </c>
      <c r="Y8" s="5" t="b">
        <v>0</v>
      </c>
      <c r="Z8" s="5" t="inlineStr">
        <is>
          <t>FACE, ACSG Madrid</t>
        </is>
      </c>
      <c r="AA8" s="5" t="inlineStr">
        <is>
          <t>+34916342256</t>
        </is>
      </c>
      <c r="AB8" s="5" t="n"/>
      <c r="AC8" s="5" t="inlineStr">
        <is>
          <t>info@asdebastos.es</t>
        </is>
      </c>
      <c r="AD8" s="5" t="inlineStr">
        <is>
          <t>https://www.asdebastos.es</t>
        </is>
      </c>
      <c r="AE8" s="5" t="n"/>
      <c r="AF8" s="5" t="n"/>
      <c r="AG8" s="5" t="n"/>
      <c r="AH8" s="5" t="n"/>
      <c r="AI8" s="5" t="inlineStr">
        <is>
          <t>Restaurante 100% sin gluten en Majadahonda con servicio a domicilio.</t>
        </is>
      </c>
      <c r="AJ8" s="5" t="inlineStr">
        <is>
          <t>100% gluten-free restaurant in Majadahonda with delivery.</t>
        </is>
      </c>
      <c r="AK8" s="5" t="inlineStr">
        <is>
          <t>100% glutenfreies Restaurant in Majadahonda mit Lieferservice.</t>
        </is>
      </c>
      <c r="AL8" s="5" t="n"/>
      <c r="AM8" s="5" t="inlineStr">
        <is>
          <t>regional_association</t>
        </is>
      </c>
      <c r="AN8" s="5" t="inlineStr">
        <is>
          <t>ACSG Madrid Verzeichnis (Stand 04/2026)</t>
        </is>
      </c>
      <c r="AO8" s="5" t="inlineStr">
        <is>
          <t>2026-04-25</t>
        </is>
      </c>
      <c r="AP8" s="5" t="inlineStr">
        <is>
          <t>2026-04-25</t>
        </is>
      </c>
    </row>
    <row r="9" ht="80.09999999999999" customHeight="1">
      <c r="A9" s="5" t="inlineStr">
        <is>
          <t>es_md_003</t>
        </is>
      </c>
      <c r="B9" s="5" t="inlineStr">
        <is>
          <t>Artemisa Sol</t>
        </is>
      </c>
      <c r="C9" s="5" t="inlineStr">
        <is>
          <t>artemisa-sol-madrid</t>
        </is>
      </c>
      <c r="D9" s="5" t="inlineStr">
        <is>
          <t>ES</t>
        </is>
      </c>
      <c r="E9" s="5" t="inlineStr">
        <is>
          <t>ES-MD</t>
        </is>
      </c>
      <c r="F9" s="5" t="inlineStr">
        <is>
          <t>Comunidad de Madrid</t>
        </is>
      </c>
      <c r="G9" s="5" t="inlineStr">
        <is>
          <t>Madrid</t>
        </is>
      </c>
      <c r="H9" s="5" t="inlineStr">
        <is>
          <t>Madrid</t>
        </is>
      </c>
      <c r="I9" s="5" t="inlineStr">
        <is>
          <t>Centro / Sol</t>
        </is>
      </c>
      <c r="J9" s="5" t="inlineStr">
        <is>
          <t>28014</t>
        </is>
      </c>
      <c r="K9" s="5" t="inlineStr">
        <is>
          <t>Calle de Ventura de la Vega, 4</t>
        </is>
      </c>
      <c r="L9" s="5" t="n">
        <v>40.416006</v>
      </c>
      <c r="M9" s="5" t="n">
        <v>-3.699049</v>
      </c>
      <c r="N9" s="5" t="inlineStr">
        <is>
          <t>restaurant</t>
        </is>
      </c>
      <c r="O9" s="5" t="inlineStr">
        <is>
          <t>vegetariana, vegana, saludable</t>
        </is>
      </c>
      <c r="P9" s="5" t="inlineStr">
        <is>
          <t>€€</t>
        </is>
      </c>
      <c r="Q9" s="5" t="inlineStr">
        <is>
          <t>lunch, dinner</t>
        </is>
      </c>
      <c r="R9" s="6" t="inlineStr">
        <is>
          <t>pending_verification</t>
        </is>
      </c>
      <c r="S9" s="5" t="n"/>
      <c r="T9" s="5" t="n"/>
      <c r="U9" s="5" t="n"/>
      <c r="V9" s="5" t="inlineStr">
        <is>
          <t>Vegetarisch + 100% glutenfrei seit 2016, ACSG-zertifiziert. Madrid Secreto + Disfrutando sin Gluten bestätigen. PRÜFEN.</t>
        </is>
      </c>
      <c r="W9" s="5" t="n"/>
      <c r="X9" s="5" t="b">
        <v>0</v>
      </c>
      <c r="Y9" s="5" t="b">
        <v>0</v>
      </c>
      <c r="Z9" s="5" t="inlineStr">
        <is>
          <t>ACSG Madrid</t>
        </is>
      </c>
      <c r="AA9" s="5" t="inlineStr">
        <is>
          <t>+34914295092</t>
        </is>
      </c>
      <c r="AB9" s="5" t="n"/>
      <c r="AC9" s="5" t="n"/>
      <c r="AD9" s="5" t="inlineStr">
        <is>
          <t>https://restaurantesvegetarianosartemisa.com</t>
        </is>
      </c>
      <c r="AE9" s="5" t="n"/>
      <c r="AF9" s="5" t="n"/>
      <c r="AG9" s="5" t="n"/>
      <c r="AH9" s="5" t="n"/>
      <c r="AI9" s="5" t="inlineStr">
        <is>
          <t>Restaurante vegetariano 100% sin gluten desde 2016. Avalado por ACSG Madrid.</t>
        </is>
      </c>
      <c r="AJ9" s="5" t="inlineStr">
        <is>
          <t>Vegetarian 100% gluten-free restaurant since 2016. ACSG Madrid endorsed.</t>
        </is>
      </c>
      <c r="AK9" s="5" t="inlineStr">
        <is>
          <t>Vegetarisches 100% glutenfreies Restaurant seit 2016. Von ACSG Madrid zertifiziert.</t>
        </is>
      </c>
      <c r="AL9" s="5" t="n"/>
      <c r="AM9" s="5" t="inlineStr">
        <is>
          <t>regional_association</t>
        </is>
      </c>
      <c r="AN9" s="5" t="inlineStr">
        <is>
          <t>ACSG Madrid + madridsecreto.co + disfrutandosingluten.es (Stand 2025-2026)</t>
        </is>
      </c>
      <c r="AO9" s="5" t="inlineStr">
        <is>
          <t>2026-04-25</t>
        </is>
      </c>
      <c r="AP9" s="5" t="inlineStr">
        <is>
          <t>2026-04-25</t>
        </is>
      </c>
    </row>
    <row r="10" ht="80.09999999999999" customHeight="1">
      <c r="A10" s="5" t="inlineStr">
        <is>
          <t>es_md_004</t>
        </is>
      </c>
      <c r="B10" s="5" t="inlineStr">
        <is>
          <t>Artemisa Tres Cruces</t>
        </is>
      </c>
      <c r="C10" s="5" t="inlineStr">
        <is>
          <t>artemisa-tres-cruces-madrid</t>
        </is>
      </c>
      <c r="D10" s="5" t="inlineStr">
        <is>
          <t>ES</t>
        </is>
      </c>
      <c r="E10" s="5" t="inlineStr">
        <is>
          <t>ES-MD</t>
        </is>
      </c>
      <c r="F10" s="5" t="inlineStr">
        <is>
          <t>Comunidad de Madrid</t>
        </is>
      </c>
      <c r="G10" s="5" t="inlineStr">
        <is>
          <t>Madrid</t>
        </is>
      </c>
      <c r="H10" s="5" t="inlineStr">
        <is>
          <t>Madrid</t>
        </is>
      </c>
      <c r="I10" s="5" t="inlineStr">
        <is>
          <t>Centro / Gran Vía</t>
        </is>
      </c>
      <c r="J10" s="5" t="n"/>
      <c r="K10" s="5" t="inlineStr">
        <is>
          <t>Calle Tres Cruces, 4</t>
        </is>
      </c>
      <c r="L10" s="5" t="n">
        <v>40.419224</v>
      </c>
      <c r="M10" s="5" t="n">
        <v>-3.702903</v>
      </c>
      <c r="N10" s="5" t="inlineStr">
        <is>
          <t>restaurant</t>
        </is>
      </c>
      <c r="O10" s="5" t="inlineStr">
        <is>
          <t>vegetariana, vegana, saludable</t>
        </is>
      </c>
      <c r="P10" s="5" t="inlineStr">
        <is>
          <t>€€</t>
        </is>
      </c>
      <c r="Q10" s="5" t="inlineStr">
        <is>
          <t>lunch, dinner</t>
        </is>
      </c>
      <c r="R10" s="6" t="inlineStr">
        <is>
          <t>pending_verification</t>
        </is>
      </c>
      <c r="S10" s="5" t="n"/>
      <c r="T10" s="5" t="n"/>
      <c r="U10" s="5" t="n"/>
      <c r="V10" s="5" t="inlineStr">
        <is>
          <t>Zweiter Standort von Artemisa, ebenfalls 100% GF + vegetarisch. PRÜFEN.</t>
        </is>
      </c>
      <c r="W10" s="5" t="n"/>
      <c r="X10" s="5" t="b">
        <v>0</v>
      </c>
      <c r="Y10" s="5" t="b">
        <v>0</v>
      </c>
      <c r="Z10" s="5" t="inlineStr">
        <is>
          <t>ACSG Madrid</t>
        </is>
      </c>
      <c r="AA10" s="5" t="n"/>
      <c r="AB10" s="5" t="n"/>
      <c r="AC10" s="5" t="n"/>
      <c r="AD10" s="5" t="inlineStr">
        <is>
          <t>https://restaurantesvegetarianosartemisa.com</t>
        </is>
      </c>
      <c r="AE10" s="5" t="n"/>
      <c r="AF10" s="5" t="n"/>
      <c r="AG10" s="5" t="n"/>
      <c r="AH10" s="5" t="n"/>
      <c r="AI10" s="5" t="inlineStr">
        <is>
          <t>Segundo local de Artemisa, vegetariano y 100% sin gluten.</t>
        </is>
      </c>
      <c r="AJ10" s="5" t="inlineStr">
        <is>
          <t>Second Artemisa location, vegetarian and 100% gluten-free.</t>
        </is>
      </c>
      <c r="AK10" s="5" t="inlineStr">
        <is>
          <t>Zweiter Artemisa-Standort, vegetarisch und 100% glutenfrei.</t>
        </is>
      </c>
      <c r="AL10" s="5" t="n"/>
      <c r="AM10" s="5" t="inlineStr">
        <is>
          <t>regional_association</t>
        </is>
      </c>
      <c r="AN10" s="5" t="inlineStr">
        <is>
          <t>madridsecreto.co (Stand 2025-2026)</t>
        </is>
      </c>
      <c r="AO10" s="5" t="inlineStr">
        <is>
          <t>2026-04-25</t>
        </is>
      </c>
      <c r="AP10" s="5" t="inlineStr">
        <is>
          <t>2026-04-25</t>
        </is>
      </c>
    </row>
    <row r="11" ht="80.09999999999999" customHeight="1">
      <c r="A11" s="5" t="inlineStr">
        <is>
          <t>es_md_005</t>
        </is>
      </c>
      <c r="B11" s="5" t="inlineStr">
        <is>
          <t>Okashi Sanda</t>
        </is>
      </c>
      <c r="C11" s="5" t="inlineStr">
        <is>
          <t>okashi-sanda-madrid</t>
        </is>
      </c>
      <c r="D11" s="5" t="inlineStr">
        <is>
          <t>ES</t>
        </is>
      </c>
      <c r="E11" s="5" t="inlineStr">
        <is>
          <t>ES-MD</t>
        </is>
      </c>
      <c r="F11" s="5" t="inlineStr">
        <is>
          <t>Comunidad de Madrid</t>
        </is>
      </c>
      <c r="G11" s="5" t="inlineStr">
        <is>
          <t>Madrid</t>
        </is>
      </c>
      <c r="H11" s="5" t="inlineStr">
        <is>
          <t>Madrid</t>
        </is>
      </c>
      <c r="I11" s="5" t="inlineStr">
        <is>
          <t>Malasaña</t>
        </is>
      </c>
      <c r="J11" s="5" t="n"/>
      <c r="K11" s="5" t="n"/>
      <c r="L11" s="5" t="n">
        <v>40.416782</v>
      </c>
      <c r="M11" s="5" t="n">
        <v>-3.703507</v>
      </c>
      <c r="N11" s="5" t="inlineStr">
        <is>
          <t>asian_restaurant</t>
        </is>
      </c>
      <c r="O11" s="5" t="inlineStr">
        <is>
          <t>japonesa, vegana</t>
        </is>
      </c>
      <c r="P11" s="5" t="inlineStr">
        <is>
          <t>€€</t>
        </is>
      </c>
      <c r="Q11" s="5" t="inlineStr">
        <is>
          <t>lunch, dinner</t>
        </is>
      </c>
      <c r="R11" s="6" t="inlineStr">
        <is>
          <t>pending_verification</t>
        </is>
      </c>
      <c r="S11" s="5" t="n"/>
      <c r="T11" s="5" t="n"/>
      <c r="U11" s="5" t="n"/>
      <c r="V11" s="5" t="inlineStr">
        <is>
          <t>Erstes japanisches Restaurant in Madrid mit FACE-Zertifizierung 100% GF + lactosefrei. Saborea Madrid + ACSG bestätigen. PRÜFEN: Adresse ergänzen, aktueller Status.</t>
        </is>
      </c>
      <c r="W11" s="5" t="n"/>
      <c r="X11" s="5" t="b">
        <v>1</v>
      </c>
      <c r="Y11" s="5" t="b">
        <v>0</v>
      </c>
      <c r="Z11" s="5" t="inlineStr">
        <is>
          <t>FACE, ACSG Madrid</t>
        </is>
      </c>
      <c r="AA11" s="5" t="n"/>
      <c r="AB11" s="5" t="n"/>
      <c r="AC11" s="5" t="n"/>
      <c r="AD11" s="5" t="n"/>
      <c r="AE11" s="5" t="n"/>
      <c r="AF11" s="5" t="n"/>
      <c r="AG11" s="5" t="n"/>
      <c r="AH11" s="5" t="n"/>
      <c r="AI11" s="5" t="inlineStr">
        <is>
          <t>Primer restaurante japonés certificado 100% sin gluten y sin lactosa en Madrid.</t>
        </is>
      </c>
      <c r="AJ11" s="5" t="inlineStr">
        <is>
          <t>First Japanese restaurant in Madrid certified 100% gluten-free and lactose-free.</t>
        </is>
      </c>
      <c r="AK11" s="5" t="inlineStr">
        <is>
          <t>Erstes japanisches Restaurant in Madrid, das 100% glutenfrei und laktosefrei zertifiziert ist.</t>
        </is>
      </c>
      <c r="AL11" s="5" t="n"/>
      <c r="AM11" s="5" t="inlineStr">
        <is>
          <t>regional_association</t>
        </is>
      </c>
      <c r="AN11" s="5" t="inlineStr">
        <is>
          <t>saborea-madrid.com + madridsecreto.co + ACSG Madrid (Stand 2025-2026)</t>
        </is>
      </c>
      <c r="AO11" s="5" t="inlineStr">
        <is>
          <t>2026-04-25</t>
        </is>
      </c>
      <c r="AP11" s="5" t="inlineStr">
        <is>
          <t>2026-04-25</t>
        </is>
      </c>
    </row>
    <row r="12" ht="80.09999999999999" customHeight="1">
      <c r="A12" s="5" t="inlineStr">
        <is>
          <t>es_md_006</t>
        </is>
      </c>
      <c r="B12" s="5" t="inlineStr">
        <is>
          <t>Pizza Natura (Chamberí)</t>
        </is>
      </c>
      <c r="C12" s="5" t="inlineStr">
        <is>
          <t>pizza-natura-chamberi</t>
        </is>
      </c>
      <c r="D12" s="5" t="inlineStr">
        <is>
          <t>ES</t>
        </is>
      </c>
      <c r="E12" s="5" t="inlineStr">
        <is>
          <t>ES-MD</t>
        </is>
      </c>
      <c r="F12" s="5" t="inlineStr">
        <is>
          <t>Comunidad de Madrid</t>
        </is>
      </c>
      <c r="G12" s="5" t="inlineStr">
        <is>
          <t>Madrid</t>
        </is>
      </c>
      <c r="H12" s="5" t="inlineStr">
        <is>
          <t>Madrid</t>
        </is>
      </c>
      <c r="I12" s="5" t="inlineStr">
        <is>
          <t>Chamberí</t>
        </is>
      </c>
      <c r="J12" s="5" t="n"/>
      <c r="K12" s="5" t="inlineStr">
        <is>
          <t>Calle Trafalgar, 8</t>
        </is>
      </c>
      <c r="L12" s="5" t="n">
        <v>40.431525</v>
      </c>
      <c r="M12" s="5" t="n">
        <v>-3.700306</v>
      </c>
      <c r="N12" s="5" t="inlineStr">
        <is>
          <t>pizzeria</t>
        </is>
      </c>
      <c r="O12" s="5" t="inlineStr">
        <is>
          <t>italiana, pizzas, vegana</t>
        </is>
      </c>
      <c r="P12" s="5" t="inlineStr">
        <is>
          <t>€€</t>
        </is>
      </c>
      <c r="Q12" s="5" t="inlineStr">
        <is>
          <t>lunch, dinner</t>
        </is>
      </c>
      <c r="R12" s="6" t="inlineStr">
        <is>
          <t>pending_verification</t>
        </is>
      </c>
      <c r="S12" s="5" t="n"/>
      <c r="T12" s="5" t="n"/>
      <c r="U12" s="5" t="n"/>
      <c r="V12" s="5" t="inlineStr">
        <is>
          <t>Time Out + Celiaquita: 'carta 100% sin gluten, no hay contaminación cruzada posible'. Drei Standorte in Madrid, dieser ist 100% GF. ACSG-zertifiziert. PRÜFEN: andere Standorte separat.</t>
        </is>
      </c>
      <c r="W12" s="5" t="n"/>
      <c r="X12" s="5" t="b">
        <v>0</v>
      </c>
      <c r="Y12" s="5" t="b">
        <v>0</v>
      </c>
      <c r="Z12" s="5" t="inlineStr">
        <is>
          <t>ACSG Madrid</t>
        </is>
      </c>
      <c r="AA12" s="5" t="n"/>
      <c r="AB12" s="5" t="n"/>
      <c r="AC12" s="5" t="n"/>
      <c r="AD12" s="5" t="n"/>
      <c r="AE12" s="5" t="n"/>
      <c r="AF12" s="5" t="n"/>
      <c r="AG12" s="5" t="n"/>
      <c r="AH12" s="5" t="n"/>
      <c r="AI12" s="5" t="inlineStr">
        <is>
          <t>Pizzería 100% sin gluten en Chamberí, también opciones veganas.</t>
        </is>
      </c>
      <c r="AJ12" s="5" t="inlineStr">
        <is>
          <t>100% gluten-free pizzeria in Chamberí, also vegan options.</t>
        </is>
      </c>
      <c r="AK12" s="5" t="inlineStr">
        <is>
          <t>100% glutenfreie Pizzeria in Chamberí, auch vegane Optionen.</t>
        </is>
      </c>
      <c r="AL12" s="5" t="n"/>
      <c r="AM12" s="5" t="inlineStr">
        <is>
          <t>blog_research</t>
        </is>
      </c>
      <c r="AN12" s="5" t="inlineStr">
        <is>
          <t>timeout.es/madrid + celiaquita.com (Stand 2025-2026)</t>
        </is>
      </c>
      <c r="AO12" s="5" t="inlineStr">
        <is>
          <t>2026-04-25</t>
        </is>
      </c>
      <c r="AP12" s="5" t="inlineStr">
        <is>
          <t>2026-04-25</t>
        </is>
      </c>
    </row>
    <row r="13" ht="80.09999999999999" customHeight="1">
      <c r="A13" s="5" t="inlineStr">
        <is>
          <t>es_md_007</t>
        </is>
      </c>
      <c r="B13" s="5" t="inlineStr">
        <is>
          <t>LaLina La Latina</t>
        </is>
      </c>
      <c r="C13" s="5" t="inlineStr">
        <is>
          <t>lalina-la-latina</t>
        </is>
      </c>
      <c r="D13" s="5" t="inlineStr">
        <is>
          <t>ES</t>
        </is>
      </c>
      <c r="E13" s="5" t="inlineStr">
        <is>
          <t>ES-MD</t>
        </is>
      </c>
      <c r="F13" s="5" t="inlineStr">
        <is>
          <t>Comunidad de Madrid</t>
        </is>
      </c>
      <c r="G13" s="5" t="inlineStr">
        <is>
          <t>Madrid</t>
        </is>
      </c>
      <c r="H13" s="5" t="inlineStr">
        <is>
          <t>Madrid</t>
        </is>
      </c>
      <c r="I13" s="5" t="inlineStr">
        <is>
          <t>La Latina</t>
        </is>
      </c>
      <c r="J13" s="5" t="n"/>
      <c r="K13" s="5" t="n"/>
      <c r="L13" s="5" t="n">
        <v>40.416782</v>
      </c>
      <c r="M13" s="5" t="n">
        <v>-3.703507</v>
      </c>
      <c r="N13" s="5" t="inlineStr">
        <is>
          <t>bar_tapas</t>
        </is>
      </c>
      <c r="O13" s="5" t="inlineStr">
        <is>
          <t>tapas, espanola</t>
        </is>
      </c>
      <c r="P13" s="5" t="inlineStr">
        <is>
          <t>€€</t>
        </is>
      </c>
      <c r="Q13" s="5" t="inlineStr">
        <is>
          <t>lunch, dinner, snacks</t>
        </is>
      </c>
      <c r="R13" s="6" t="inlineStr">
        <is>
          <t>pending_verification</t>
        </is>
      </c>
      <c r="S13" s="5" t="n"/>
      <c r="T13" s="5" t="n"/>
      <c r="U13" s="5" t="n"/>
      <c r="V13" s="5" t="inlineStr">
        <is>
          <t>Tapas-Bar 100% GF, ACSG-zertifiziert. Saborea Madrid: 'bar de tapas 100% gluten free justo al lado del Teatro de La Latina'. Zweiter Standort in Chueca. PRÜFEN: Adresse + aktueller Status.</t>
        </is>
      </c>
      <c r="W13" s="5" t="n"/>
      <c r="X13" s="5" t="b">
        <v>0</v>
      </c>
      <c r="Y13" s="5" t="b">
        <v>0</v>
      </c>
      <c r="Z13" s="5" t="inlineStr">
        <is>
          <t>ACSG Madrid</t>
        </is>
      </c>
      <c r="AA13" s="5" t="n"/>
      <c r="AB13" s="5" t="n"/>
      <c r="AC13" s="5" t="n"/>
      <c r="AD13" s="5" t="n"/>
      <c r="AE13" s="5" t="n"/>
      <c r="AF13" s="5" t="n"/>
      <c r="AG13" s="5" t="n"/>
      <c r="AH13" s="5" t="n"/>
      <c r="AI13" s="5" t="inlineStr">
        <is>
          <t>Bar de tapas 100% sin gluten en La Latina, especialidad: patatas bravas.</t>
        </is>
      </c>
      <c r="AJ13" s="5" t="inlineStr">
        <is>
          <t>100% gluten-free tapas bar in La Latina, specialty: patatas bravas.</t>
        </is>
      </c>
      <c r="AK13" s="5" t="inlineStr">
        <is>
          <t>100% glutenfreie Tapas-Bar in La Latina, Spezialität: Patatas Bravas.</t>
        </is>
      </c>
      <c r="AL13" s="5" t="n"/>
      <c r="AM13" s="5" t="inlineStr">
        <is>
          <t>regional_association</t>
        </is>
      </c>
      <c r="AN13" s="5" t="inlineStr">
        <is>
          <t>saborea-madrid.com + disfrutandosingluten.es (Stand 2024-2026)</t>
        </is>
      </c>
      <c r="AO13" s="5" t="inlineStr">
        <is>
          <t>2026-04-25</t>
        </is>
      </c>
      <c r="AP13" s="5" t="inlineStr">
        <is>
          <t>2026-04-25</t>
        </is>
      </c>
    </row>
    <row r="14" ht="80.09999999999999" customHeight="1">
      <c r="A14" s="5" t="inlineStr">
        <is>
          <t>es_md_008</t>
        </is>
      </c>
      <c r="B14" s="5" t="inlineStr">
        <is>
          <t>Ardemos Burger</t>
        </is>
      </c>
      <c r="C14" s="5" t="inlineStr">
        <is>
          <t>ardemos-burger-madrid</t>
        </is>
      </c>
      <c r="D14" s="5" t="inlineStr">
        <is>
          <t>ES</t>
        </is>
      </c>
      <c r="E14" s="5" t="inlineStr">
        <is>
          <t>ES-MD</t>
        </is>
      </c>
      <c r="F14" s="5" t="inlineStr">
        <is>
          <t>Comunidad de Madrid</t>
        </is>
      </c>
      <c r="G14" s="5" t="inlineStr">
        <is>
          <t>Madrid</t>
        </is>
      </c>
      <c r="H14" s="5" t="inlineStr">
        <is>
          <t>Madrid</t>
        </is>
      </c>
      <c r="I14" s="5" t="inlineStr">
        <is>
          <t>Centro</t>
        </is>
      </c>
      <c r="J14" s="5" t="inlineStr">
        <is>
          <t>28004</t>
        </is>
      </c>
      <c r="K14" s="5" t="inlineStr">
        <is>
          <t>Calle de Carranza, 4</t>
        </is>
      </c>
      <c r="L14" s="5" t="n">
        <v>40.429237</v>
      </c>
      <c r="M14" s="5" t="n">
        <v>-3.703924</v>
      </c>
      <c r="N14" s="5" t="inlineStr">
        <is>
          <t>burger_joint</t>
        </is>
      </c>
      <c r="O14" s="5" t="inlineStr">
        <is>
          <t>hamburguesas</t>
        </is>
      </c>
      <c r="P14" s="5" t="inlineStr">
        <is>
          <t>€€</t>
        </is>
      </c>
      <c r="Q14" s="5" t="inlineStr">
        <is>
          <t>lunch, dinner</t>
        </is>
      </c>
      <c r="R14" s="6" t="inlineStr">
        <is>
          <t>pending_verification</t>
        </is>
      </c>
      <c r="S14" s="5" t="n"/>
      <c r="T14" s="5" t="n"/>
      <c r="U14" s="5" t="n"/>
      <c r="V14" s="5" t="inlineStr">
        <is>
          <t>ACSG: 'Hamburguesería 100% sin gluten'. PRÜFEN.</t>
        </is>
      </c>
      <c r="W14" s="5" t="n"/>
      <c r="X14" s="5" t="b">
        <v>0</v>
      </c>
      <c r="Y14" s="5" t="b">
        <v>0</v>
      </c>
      <c r="Z14" s="5" t="inlineStr">
        <is>
          <t>ACSG Madrid</t>
        </is>
      </c>
      <c r="AA14" s="5" t="inlineStr">
        <is>
          <t>+34914916030</t>
        </is>
      </c>
      <c r="AB14" s="5" t="n"/>
      <c r="AC14" s="5" t="n"/>
      <c r="AD14" s="5" t="inlineStr">
        <is>
          <t>https://ardemosburger.com</t>
        </is>
      </c>
      <c r="AE14" s="5" t="n"/>
      <c r="AF14" s="5" t="n"/>
      <c r="AG14" s="5" t="n"/>
      <c r="AH14" s="5" t="n"/>
      <c r="AI14" s="5" t="inlineStr">
        <is>
          <t>Hamburguesería 100% sin gluten en el centro de Madrid.</t>
        </is>
      </c>
      <c r="AJ14" s="5" t="inlineStr">
        <is>
          <t>100% gluten-free burger joint in central Madrid.</t>
        </is>
      </c>
      <c r="AK14" s="5" t="inlineStr">
        <is>
          <t>100% glutenfreier Burger-Laden in Madrids Zentrum.</t>
        </is>
      </c>
      <c r="AL14" s="5" t="n"/>
      <c r="AM14" s="5" t="inlineStr">
        <is>
          <t>regional_association</t>
        </is>
      </c>
      <c r="AN14" s="5" t="inlineStr">
        <is>
          <t>ACSG Madrid Verzeichnis (Stand 04/2026)</t>
        </is>
      </c>
      <c r="AO14" s="5" t="inlineStr">
        <is>
          <t>2026-04-25</t>
        </is>
      </c>
      <c r="AP14" s="5" t="inlineStr">
        <is>
          <t>2026-04-25</t>
        </is>
      </c>
    </row>
    <row r="15" ht="80.09999999999999" customHeight="1">
      <c r="A15" s="5" t="inlineStr">
        <is>
          <t>es_md_009</t>
        </is>
      </c>
      <c r="B15" s="5" t="inlineStr">
        <is>
          <t>Celicioso Huertas</t>
        </is>
      </c>
      <c r="C15" s="5" t="inlineStr">
        <is>
          <t>celicioso-huertas</t>
        </is>
      </c>
      <c r="D15" s="5" t="inlineStr">
        <is>
          <t>ES</t>
        </is>
      </c>
      <c r="E15" s="5" t="inlineStr">
        <is>
          <t>ES-MD</t>
        </is>
      </c>
      <c r="F15" s="5" t="inlineStr">
        <is>
          <t>Comunidad de Madrid</t>
        </is>
      </c>
      <c r="G15" s="5" t="inlineStr">
        <is>
          <t>Madrid</t>
        </is>
      </c>
      <c r="H15" s="5" t="inlineStr">
        <is>
          <t>Madrid</t>
        </is>
      </c>
      <c r="I15" s="5" t="inlineStr">
        <is>
          <t>Huertas</t>
        </is>
      </c>
      <c r="J15" s="5" t="inlineStr">
        <is>
          <t>28012</t>
        </is>
      </c>
      <c r="K15" s="5" t="inlineStr">
        <is>
          <t>Calle de las Huertas, 10</t>
        </is>
      </c>
      <c r="L15" s="5" t="n">
        <v>40.413902</v>
      </c>
      <c r="M15" s="5" t="n">
        <v>-3.70081</v>
      </c>
      <c r="N15" s="5" t="inlineStr">
        <is>
          <t>pastry_shop</t>
        </is>
      </c>
      <c r="O15" s="5" t="inlineStr">
        <is>
          <t>saludable</t>
        </is>
      </c>
      <c r="P15" s="5" t="inlineStr">
        <is>
          <t>€€</t>
        </is>
      </c>
      <c r="Q15" s="5" t="inlineStr">
        <is>
          <t>breakfast, brunch, snacks</t>
        </is>
      </c>
      <c r="R15" s="6" t="inlineStr">
        <is>
          <t>pending_verification</t>
        </is>
      </c>
      <c r="S15" s="5" t="n"/>
      <c r="T15" s="5" t="n"/>
      <c r="U15" s="5" t="n"/>
      <c r="V15" s="5" t="inlineStr">
        <is>
          <t>ACSG-Quelle: 'Avalado 100% — Gluten free bakery. Todos sus productos son aptos para celiacos'. Mehrere Standorte (Huertas, Barquillo, Callao, Barcelona Diagonal). PRÜFEN.</t>
        </is>
      </c>
      <c r="W15" s="5" t="n"/>
      <c r="X15" s="5" t="b">
        <v>0</v>
      </c>
      <c r="Y15" s="5" t="b">
        <v>0</v>
      </c>
      <c r="Z15" s="5" t="inlineStr">
        <is>
          <t>ACSG Madrid</t>
        </is>
      </c>
      <c r="AA15" s="5" t="inlineStr">
        <is>
          <t>+34697828235</t>
        </is>
      </c>
      <c r="AB15" s="5" t="n"/>
      <c r="AC15" s="5" t="n"/>
      <c r="AD15" s="5" t="inlineStr">
        <is>
          <t>https://celicioso.shop</t>
        </is>
      </c>
      <c r="AE15" s="5" t="n"/>
      <c r="AF15" s="5" t="n"/>
      <c r="AG15" s="5" t="n"/>
      <c r="AH15" s="5" t="n"/>
      <c r="AI15" s="5" t="inlineStr">
        <is>
          <t>Pastelería y cafetería 100% sin gluten en Huertas.</t>
        </is>
      </c>
      <c r="AJ15" s="5" t="inlineStr">
        <is>
          <t>100% gluten-free bakery and café in Huertas.</t>
        </is>
      </c>
      <c r="AK15" s="5" t="inlineStr">
        <is>
          <t>100% glutenfreie Bäckerei und Café in Huertas.</t>
        </is>
      </c>
      <c r="AL15" s="5" t="n"/>
      <c r="AM15" s="5" t="inlineStr">
        <is>
          <t>regional_association</t>
        </is>
      </c>
      <c r="AN15" s="5" t="inlineStr">
        <is>
          <t>ACSG Madrid Verzeichnis (Stand 04/2026)</t>
        </is>
      </c>
      <c r="AO15" s="5" t="inlineStr">
        <is>
          <t>2026-04-25</t>
        </is>
      </c>
      <c r="AP15" s="5" t="inlineStr">
        <is>
          <t>2026-04-25</t>
        </is>
      </c>
    </row>
    <row r="16" ht="80.09999999999999" customHeight="1">
      <c r="A16" s="5" t="inlineStr">
        <is>
          <t>es_md_010</t>
        </is>
      </c>
      <c r="B16" s="5" t="inlineStr">
        <is>
          <t>Celicioso Barquillo</t>
        </is>
      </c>
      <c r="C16" s="5" t="inlineStr">
        <is>
          <t>celicioso-barquillo</t>
        </is>
      </c>
      <c r="D16" s="5" t="inlineStr">
        <is>
          <t>ES</t>
        </is>
      </c>
      <c r="E16" s="5" t="inlineStr">
        <is>
          <t>ES-MD</t>
        </is>
      </c>
      <c r="F16" s="5" t="inlineStr">
        <is>
          <t>Comunidad de Madrid</t>
        </is>
      </c>
      <c r="G16" s="5" t="inlineStr">
        <is>
          <t>Madrid</t>
        </is>
      </c>
      <c r="H16" s="5" t="inlineStr">
        <is>
          <t>Madrid</t>
        </is>
      </c>
      <c r="I16" s="5" t="inlineStr">
        <is>
          <t>Chueca</t>
        </is>
      </c>
      <c r="J16" s="5" t="inlineStr">
        <is>
          <t>28004</t>
        </is>
      </c>
      <c r="K16" s="5" t="inlineStr">
        <is>
          <t>Calle Barquillo, 19</t>
        </is>
      </c>
      <c r="L16" s="5" t="n">
        <v>40.422064</v>
      </c>
      <c r="M16" s="5" t="n">
        <v>-3.695695</v>
      </c>
      <c r="N16" s="5" t="inlineStr">
        <is>
          <t>pastry_shop</t>
        </is>
      </c>
      <c r="O16" s="5" t="inlineStr">
        <is>
          <t>saludable</t>
        </is>
      </c>
      <c r="P16" s="5" t="inlineStr">
        <is>
          <t>€€</t>
        </is>
      </c>
      <c r="Q16" s="5" t="inlineStr">
        <is>
          <t>breakfast, brunch, snacks</t>
        </is>
      </c>
      <c r="R16" s="6" t="inlineStr">
        <is>
          <t>pending_verification</t>
        </is>
      </c>
      <c r="S16" s="5" t="n"/>
      <c r="T16" s="5" t="n"/>
      <c r="U16" s="5" t="n"/>
      <c r="V16" s="5" t="inlineStr">
        <is>
          <t>Filiale Celicioso. ACSG: 'Avalado 100%'. PRÜFEN.</t>
        </is>
      </c>
      <c r="W16" s="5" t="n"/>
      <c r="X16" s="5" t="b">
        <v>0</v>
      </c>
      <c r="Y16" s="5" t="b">
        <v>0</v>
      </c>
      <c r="Z16" s="5" t="inlineStr">
        <is>
          <t>ACSG Madrid</t>
        </is>
      </c>
      <c r="AA16" s="5" t="inlineStr">
        <is>
          <t>+34915322899</t>
        </is>
      </c>
      <c r="AB16" s="5" t="n"/>
      <c r="AC16" s="5" t="n"/>
      <c r="AD16" s="5" t="inlineStr">
        <is>
          <t>https://celicioso.shop</t>
        </is>
      </c>
      <c r="AE16" s="5" t="n"/>
      <c r="AF16" s="5" t="n"/>
      <c r="AG16" s="5" t="n"/>
      <c r="AH16" s="5" t="n"/>
      <c r="AI16" s="5" t="inlineStr">
        <is>
          <t>Pastelería 100% sin gluten en Chueca.</t>
        </is>
      </c>
      <c r="AJ16" s="5" t="inlineStr">
        <is>
          <t>100% gluten-free bakery in Chueca.</t>
        </is>
      </c>
      <c r="AK16" s="5" t="inlineStr">
        <is>
          <t>100% glutenfreie Bäckerei in Chueca.</t>
        </is>
      </c>
      <c r="AL16" s="5" t="n"/>
      <c r="AM16" s="5" t="inlineStr">
        <is>
          <t>regional_association</t>
        </is>
      </c>
      <c r="AN16" s="5" t="inlineStr">
        <is>
          <t>ACSG Madrid Verzeichnis (Stand 04/2026)</t>
        </is>
      </c>
      <c r="AO16" s="5" t="inlineStr">
        <is>
          <t>2026-04-25</t>
        </is>
      </c>
      <c r="AP16" s="5" t="inlineStr">
        <is>
          <t>2026-04-25</t>
        </is>
      </c>
    </row>
    <row r="17" ht="80.09999999999999" customHeight="1">
      <c r="A17" s="5" t="inlineStr">
        <is>
          <t>es_md_011</t>
        </is>
      </c>
      <c r="B17" s="5" t="inlineStr">
        <is>
          <t>Celicioso Callao (El Corte Inglés)</t>
        </is>
      </c>
      <c r="C17" s="5" t="inlineStr">
        <is>
          <t>celicioso-callao</t>
        </is>
      </c>
      <c r="D17" s="5" t="inlineStr">
        <is>
          <t>ES</t>
        </is>
      </c>
      <c r="E17" s="5" t="inlineStr">
        <is>
          <t>ES-MD</t>
        </is>
      </c>
      <c r="F17" s="5" t="inlineStr">
        <is>
          <t>Comunidad de Madrid</t>
        </is>
      </c>
      <c r="G17" s="5" t="inlineStr">
        <is>
          <t>Madrid</t>
        </is>
      </c>
      <c r="H17" s="5" t="inlineStr">
        <is>
          <t>Madrid</t>
        </is>
      </c>
      <c r="I17" s="5" t="inlineStr">
        <is>
          <t>Callao</t>
        </is>
      </c>
      <c r="J17" s="5" t="inlineStr">
        <is>
          <t>28009</t>
        </is>
      </c>
      <c r="K17" s="5" t="inlineStr">
        <is>
          <t>Plaza del Callao, 2, 9ª planta El Corte Inglés</t>
        </is>
      </c>
      <c r="L17" s="5" t="n">
        <v>40.416782</v>
      </c>
      <c r="M17" s="5" t="n">
        <v>-3.703507</v>
      </c>
      <c r="N17" s="5" t="inlineStr">
        <is>
          <t>pastry_shop</t>
        </is>
      </c>
      <c r="O17" s="5" t="inlineStr">
        <is>
          <t>saludable</t>
        </is>
      </c>
      <c r="P17" s="5" t="inlineStr">
        <is>
          <t>€€</t>
        </is>
      </c>
      <c r="Q17" s="5" t="inlineStr">
        <is>
          <t>lunch, snacks</t>
        </is>
      </c>
      <c r="R17" s="6" t="inlineStr">
        <is>
          <t>pending_verification</t>
        </is>
      </c>
      <c r="S17" s="5" t="n"/>
      <c r="T17" s="5" t="n"/>
      <c r="U17" s="5" t="n"/>
      <c r="V17" s="5" t="inlineStr">
        <is>
          <t>Celicioso-Filiale im Corte Inglés. ACSG: 'Avalado 100%'. PRÜFEN.</t>
        </is>
      </c>
      <c r="W17" s="5" t="n"/>
      <c r="X17" s="5" t="b">
        <v>0</v>
      </c>
      <c r="Y17" s="5" t="b">
        <v>0</v>
      </c>
      <c r="Z17" s="5" t="inlineStr">
        <is>
          <t>ACSG Madrid</t>
        </is>
      </c>
      <c r="AA17" s="5" t="n"/>
      <c r="AB17" s="5" t="n"/>
      <c r="AC17" s="5" t="n"/>
      <c r="AD17" s="5" t="inlineStr">
        <is>
          <t>https://celicioso.shop</t>
        </is>
      </c>
      <c r="AE17" s="5" t="n"/>
      <c r="AF17" s="5" t="n"/>
      <c r="AG17" s="5" t="n"/>
      <c r="AH17" s="5" t="n"/>
      <c r="AI17" s="5" t="inlineStr">
        <is>
          <t>Celicioso en la 9ª planta de El Corte Inglés Callao, 100% sin gluten.</t>
        </is>
      </c>
      <c r="AJ17" s="5" t="inlineStr">
        <is>
          <t>Celicioso on the 9th floor of El Corte Inglés Callao, 100% gluten-free.</t>
        </is>
      </c>
      <c r="AK17" s="5" t="inlineStr">
        <is>
          <t>Celicioso im 9. Stock von El Corte Inglés Callao, 100% glutenfrei.</t>
        </is>
      </c>
      <c r="AL17" s="5" t="n"/>
      <c r="AM17" s="5" t="inlineStr">
        <is>
          <t>regional_association</t>
        </is>
      </c>
      <c r="AN17" s="5" t="inlineStr">
        <is>
          <t>ACSG Madrid Verzeichnis (Stand 04/2026)</t>
        </is>
      </c>
      <c r="AO17" s="5" t="inlineStr">
        <is>
          <t>2026-04-25</t>
        </is>
      </c>
      <c r="AP17" s="5" t="inlineStr">
        <is>
          <t>2026-04-25</t>
        </is>
      </c>
    </row>
    <row r="18" ht="80.09999999999999" customHeight="1">
      <c r="A18" s="5" t="inlineStr">
        <is>
          <t>es_md_012</t>
        </is>
      </c>
      <c r="B18" s="5" t="inlineStr">
        <is>
          <t>La Celiacoteca Madrid</t>
        </is>
      </c>
      <c r="C18" s="5" t="inlineStr">
        <is>
          <t>la-celiacoteca-madrid</t>
        </is>
      </c>
      <c r="D18" s="5" t="inlineStr">
        <is>
          <t>ES</t>
        </is>
      </c>
      <c r="E18" s="5" t="inlineStr">
        <is>
          <t>ES-MD</t>
        </is>
      </c>
      <c r="F18" s="5" t="inlineStr">
        <is>
          <t>Comunidad de Madrid</t>
        </is>
      </c>
      <c r="G18" s="5" t="inlineStr">
        <is>
          <t>Madrid</t>
        </is>
      </c>
      <c r="H18" s="5" t="inlineStr">
        <is>
          <t>Madrid</t>
        </is>
      </c>
      <c r="I18" s="5" t="n"/>
      <c r="J18" s="5" t="n"/>
      <c r="K18" s="5" t="inlineStr">
        <is>
          <t>C/ Eraso, 3</t>
        </is>
      </c>
      <c r="L18" s="5" t="n">
        <v>40.433545</v>
      </c>
      <c r="M18" s="5" t="n">
        <v>-3.672392</v>
      </c>
      <c r="N18" s="5" t="inlineStr">
        <is>
          <t>pastry_shop</t>
        </is>
      </c>
      <c r="O18" s="5" t="inlineStr">
        <is>
          <t>saludable</t>
        </is>
      </c>
      <c r="P18" s="5" t="inlineStr">
        <is>
          <t>€€</t>
        </is>
      </c>
      <c r="Q18" s="5" t="inlineStr">
        <is>
          <t>snacks</t>
        </is>
      </c>
      <c r="R18" s="6" t="inlineStr">
        <is>
          <t>pending_verification</t>
        </is>
      </c>
      <c r="S18" s="5" t="n"/>
      <c r="T18" s="5" t="n"/>
      <c r="U18" s="5" t="n"/>
      <c r="V18" s="5" t="inlineStr">
        <is>
          <t>unbuendiaenmadrid.com: 'pastelería donde todas sus elaboraciones son 100% sin gluten'. Auch Standort in Alcalá de Henares. PRÜFEN.</t>
        </is>
      </c>
      <c r="W18" s="5" t="n"/>
      <c r="X18" s="5" t="b">
        <v>0</v>
      </c>
      <c r="Y18" s="5" t="b">
        <v>0</v>
      </c>
      <c r="Z18" s="5" t="n"/>
      <c r="AA18" s="5" t="n"/>
      <c r="AB18" s="5" t="n"/>
      <c r="AC18" s="5" t="n"/>
      <c r="AD18" s="5" t="n"/>
      <c r="AE18" s="5" t="n"/>
      <c r="AF18" s="5" t="n"/>
      <c r="AG18" s="5" t="n"/>
      <c r="AH18" s="5" t="n"/>
      <c r="AI18" s="5" t="inlineStr">
        <is>
          <t>Pastelería con elaboraciones 100% sin gluten.</t>
        </is>
      </c>
      <c r="AJ18" s="5" t="inlineStr">
        <is>
          <t>Bakery with 100% gluten-free creations.</t>
        </is>
      </c>
      <c r="AK18" s="5" t="inlineStr">
        <is>
          <t>Konditorei mit 100% glutenfreien Kreationen.</t>
        </is>
      </c>
      <c r="AL18" s="5" t="n"/>
      <c r="AM18" s="5" t="inlineStr">
        <is>
          <t>blog_research</t>
        </is>
      </c>
      <c r="AN18" s="5" t="inlineStr">
        <is>
          <t>unbuendiaenmadrid.com (Stand 03/2026)</t>
        </is>
      </c>
      <c r="AO18" s="5" t="inlineStr">
        <is>
          <t>2026-04-25</t>
        </is>
      </c>
      <c r="AP18" s="5" t="inlineStr">
        <is>
          <t>2026-04-25</t>
        </is>
      </c>
    </row>
    <row r="19" ht="80.09999999999999" customHeight="1">
      <c r="A19" s="5" t="inlineStr">
        <is>
          <t>es_md_013</t>
        </is>
      </c>
      <c r="B19" s="5" t="inlineStr">
        <is>
          <t>La Celiacoteca Alcalá</t>
        </is>
      </c>
      <c r="C19" s="5" t="inlineStr">
        <is>
          <t>la-celiacoteca-alcala</t>
        </is>
      </c>
      <c r="D19" s="5" t="inlineStr">
        <is>
          <t>ES</t>
        </is>
      </c>
      <c r="E19" s="5" t="inlineStr">
        <is>
          <t>ES-MD</t>
        </is>
      </c>
      <c r="F19" s="5" t="inlineStr">
        <is>
          <t>Comunidad de Madrid</t>
        </is>
      </c>
      <c r="G19" s="5" t="inlineStr">
        <is>
          <t>Madrid</t>
        </is>
      </c>
      <c r="H19" s="5" t="inlineStr">
        <is>
          <t>Alcalá de Henares</t>
        </is>
      </c>
      <c r="I19" s="5" t="n"/>
      <c r="J19" s="5" t="n"/>
      <c r="K19" s="5" t="inlineStr">
        <is>
          <t>C/ Talamanca, 3</t>
        </is>
      </c>
      <c r="L19" s="5" t="n">
        <v>40.485907</v>
      </c>
      <c r="M19" s="5" t="n">
        <v>-3.366175</v>
      </c>
      <c r="N19" s="5" t="inlineStr">
        <is>
          <t>pastry_shop</t>
        </is>
      </c>
      <c r="O19" s="5" t="inlineStr">
        <is>
          <t>saludable</t>
        </is>
      </c>
      <c r="P19" s="5" t="inlineStr">
        <is>
          <t>€€</t>
        </is>
      </c>
      <c r="Q19" s="5" t="inlineStr">
        <is>
          <t>snacks</t>
        </is>
      </c>
      <c r="R19" s="6" t="inlineStr">
        <is>
          <t>pending_verification</t>
        </is>
      </c>
      <c r="S19" s="5" t="n"/>
      <c r="T19" s="5" t="n"/>
      <c r="U19" s="5" t="n"/>
      <c r="V19" s="5" t="inlineStr">
        <is>
          <t>Filiale La Celiacoteca, 100% GF. PRÜFEN.</t>
        </is>
      </c>
      <c r="W19" s="5" t="n"/>
      <c r="X19" s="5" t="b">
        <v>0</v>
      </c>
      <c r="Y19" s="5" t="b">
        <v>0</v>
      </c>
      <c r="Z19" s="5" t="n"/>
      <c r="AA19" s="5" t="n"/>
      <c r="AB19" s="5" t="n"/>
      <c r="AC19" s="5" t="n"/>
      <c r="AD19" s="5" t="n"/>
      <c r="AE19" s="5" t="n"/>
      <c r="AF19" s="5" t="n"/>
      <c r="AG19" s="5" t="n"/>
      <c r="AH19" s="5" t="n"/>
      <c r="AI19" s="5" t="n"/>
      <c r="AJ19" s="5" t="n"/>
      <c r="AK19" s="5" t="n"/>
      <c r="AL19" s="5" t="n"/>
      <c r="AM19" s="5" t="inlineStr">
        <is>
          <t>blog_research</t>
        </is>
      </c>
      <c r="AN19" s="5" t="inlineStr">
        <is>
          <t>unbuendiaenmadrid.com (Stand 03/2026)</t>
        </is>
      </c>
      <c r="AO19" s="5" t="inlineStr">
        <is>
          <t>2026-04-25</t>
        </is>
      </c>
      <c r="AP19" s="5" t="inlineStr">
        <is>
          <t>2026-04-25</t>
        </is>
      </c>
    </row>
    <row r="20" ht="80.09999999999999" customHeight="1">
      <c r="A20" s="5" t="inlineStr">
        <is>
          <t>es_md_014</t>
        </is>
      </c>
      <c r="B20" s="5" t="inlineStr">
        <is>
          <t>Kaktus</t>
        </is>
      </c>
      <c r="C20" s="5" t="inlineStr">
        <is>
          <t>kaktus-madrid</t>
        </is>
      </c>
      <c r="D20" s="5" t="inlineStr">
        <is>
          <t>ES</t>
        </is>
      </c>
      <c r="E20" s="5" t="inlineStr">
        <is>
          <t>ES-MD</t>
        </is>
      </c>
      <c r="F20" s="5" t="inlineStr">
        <is>
          <t>Comunidad de Madrid</t>
        </is>
      </c>
      <c r="G20" s="5" t="inlineStr">
        <is>
          <t>Madrid</t>
        </is>
      </c>
      <c r="H20" s="5" t="inlineStr">
        <is>
          <t>Madrid</t>
        </is>
      </c>
      <c r="I20" s="5" t="n"/>
      <c r="J20" s="5" t="n"/>
      <c r="K20" s="5" t="n"/>
      <c r="L20" s="5" t="n">
        <v>40.416782</v>
      </c>
      <c r="M20" s="5" t="n">
        <v>-3.703507</v>
      </c>
      <c r="N20" s="5" t="inlineStr">
        <is>
          <t>restaurant</t>
        </is>
      </c>
      <c r="O20" s="5" t="inlineStr">
        <is>
          <t>internacional, hamburguesas</t>
        </is>
      </c>
      <c r="P20" s="5" t="inlineStr">
        <is>
          <t>€€</t>
        </is>
      </c>
      <c r="Q20" s="5" t="inlineStr">
        <is>
          <t>lunch, dinner</t>
        </is>
      </c>
      <c r="R20" s="6" t="inlineStr">
        <is>
          <t>pending_verification</t>
        </is>
      </c>
      <c r="S20" s="5" t="n"/>
      <c r="T20" s="5" t="n"/>
      <c r="U20" s="5" t="n"/>
      <c r="V20" s="5" t="inlineStr">
        <is>
          <t>Eigene Webseite: 'restaurante 100% sin gluten Kaktus'. Eigene Brauerei mit GF-Bier. PRÜFEN: Adresse, aktueller Status.</t>
        </is>
      </c>
      <c r="W20" s="5" t="n"/>
      <c r="X20" s="5" t="b">
        <v>0</v>
      </c>
      <c r="Y20" s="5" t="b">
        <v>0</v>
      </c>
      <c r="Z20" s="5" t="n"/>
      <c r="AA20" s="5" t="n"/>
      <c r="AB20" s="5" t="n"/>
      <c r="AC20" s="5" t="inlineStr">
        <is>
          <t>kaktus@kaktusbeer.com</t>
        </is>
      </c>
      <c r="AD20" s="5" t="inlineStr">
        <is>
          <t>https://www.kaktusbeer.com</t>
        </is>
      </c>
      <c r="AE20" s="5" t="n"/>
      <c r="AF20" s="5" t="n"/>
      <c r="AG20" s="5" t="n"/>
      <c r="AH20" s="5" t="n"/>
      <c r="AI20" s="5" t="inlineStr">
        <is>
          <t>Restaurante 100% sin gluten con cervecería artesana propia.</t>
        </is>
      </c>
      <c r="AJ20" s="5" t="inlineStr">
        <is>
          <t>100% gluten-free restaurant with own craft brewery.</t>
        </is>
      </c>
      <c r="AK20" s="5" t="inlineStr">
        <is>
          <t>100% glutenfreies Restaurant mit eigener Craft-Brauerei.</t>
        </is>
      </c>
      <c r="AL20" s="5" t="n"/>
      <c r="AM20" s="5" t="inlineStr">
        <is>
          <t>official_website</t>
        </is>
      </c>
      <c r="AN20" s="5" t="inlineStr">
        <is>
          <t>https://www.kaktusbeer.com/restaurante-sin-gluten-madrid/ (Stand 03/2025)</t>
        </is>
      </c>
      <c r="AO20" s="5" t="inlineStr">
        <is>
          <t>2026-04-25</t>
        </is>
      </c>
      <c r="AP20" s="5" t="inlineStr">
        <is>
          <t>2026-04-25</t>
        </is>
      </c>
    </row>
    <row r="21" ht="80.09999999999999" customHeight="1">
      <c r="A21" s="5" t="inlineStr">
        <is>
          <t>es_md_015</t>
        </is>
      </c>
      <c r="B21" s="5" t="inlineStr">
        <is>
          <t>Los Carnales</t>
        </is>
      </c>
      <c r="C21" s="5" t="inlineStr">
        <is>
          <t>los-carnales-madrid</t>
        </is>
      </c>
      <c r="D21" s="5" t="inlineStr">
        <is>
          <t>ES</t>
        </is>
      </c>
      <c r="E21" s="5" t="inlineStr">
        <is>
          <t>ES-MD</t>
        </is>
      </c>
      <c r="F21" s="5" t="inlineStr">
        <is>
          <t>Comunidad de Madrid</t>
        </is>
      </c>
      <c r="G21" s="5" t="inlineStr">
        <is>
          <t>Madrid</t>
        </is>
      </c>
      <c r="H21" s="5" t="inlineStr">
        <is>
          <t>Madrid</t>
        </is>
      </c>
      <c r="I21" s="5" t="inlineStr">
        <is>
          <t>Moncloa-Aravaca</t>
        </is>
      </c>
      <c r="J21" s="5" t="inlineStr">
        <is>
          <t>28008</t>
        </is>
      </c>
      <c r="K21" s="5" t="inlineStr">
        <is>
          <t>C. de Martín de los Heros, 4, BAJO A</t>
        </is>
      </c>
      <c r="L21" s="5" t="n">
        <v>40.416782</v>
      </c>
      <c r="M21" s="5" t="n">
        <v>-3.703507</v>
      </c>
      <c r="N21" s="5" t="inlineStr">
        <is>
          <t>restaurant</t>
        </is>
      </c>
      <c r="O21" s="5" t="inlineStr">
        <is>
          <t>mexicana</t>
        </is>
      </c>
      <c r="P21" s="5" t="inlineStr">
        <is>
          <t>€€</t>
        </is>
      </c>
      <c r="Q21" s="5" t="inlineStr">
        <is>
          <t>lunch, dinner</t>
        </is>
      </c>
      <c r="R21" s="6" t="inlineStr">
        <is>
          <t>pending_verification</t>
        </is>
      </c>
      <c r="S21" s="5" t="n"/>
      <c r="T21" s="5" t="n"/>
      <c r="U21" s="5" t="n"/>
      <c r="V21" s="5" t="inlineStr">
        <is>
          <t>Celiaquita: 'carta 100% sin gluten y certificados por la Asociación de Celíacos de Madrid'. Mexikanisch. PRÜFEN.</t>
        </is>
      </c>
      <c r="W21" s="5" t="n"/>
      <c r="X21" s="5" t="b">
        <v>0</v>
      </c>
      <c r="Y21" s="5" t="b">
        <v>0</v>
      </c>
      <c r="Z21" s="5" t="inlineStr">
        <is>
          <t>ACSG Madrid</t>
        </is>
      </c>
      <c r="AA21" s="5" t="n"/>
      <c r="AB21" s="5" t="n"/>
      <c r="AC21" s="5" t="n"/>
      <c r="AD21" s="5" t="n"/>
      <c r="AE21" s="5" t="n"/>
      <c r="AF21" s="5" t="n"/>
      <c r="AG21" s="5" t="n"/>
      <c r="AH21" s="5" t="n"/>
      <c r="AI21" s="5" t="inlineStr">
        <is>
          <t>Restaurante mexicano 100% sin gluten en Moncloa.</t>
        </is>
      </c>
      <c r="AJ21" s="5" t="inlineStr">
        <is>
          <t>100% gluten-free Mexican restaurant in Moncloa.</t>
        </is>
      </c>
      <c r="AK21" s="5" t="inlineStr">
        <is>
          <t>100% glutenfreies mexikanisches Restaurant in Moncloa.</t>
        </is>
      </c>
      <c r="AL21" s="5" t="n"/>
      <c r="AM21" s="5" t="inlineStr">
        <is>
          <t>blog_research</t>
        </is>
      </c>
      <c r="AN21" s="5" t="inlineStr">
        <is>
          <t>celiaquita.com (Stand 11/2025)</t>
        </is>
      </c>
      <c r="AO21" s="5" t="inlineStr">
        <is>
          <t>2026-04-25</t>
        </is>
      </c>
      <c r="AP21" s="5" t="inlineStr">
        <is>
          <t>2026-04-25</t>
        </is>
      </c>
    </row>
    <row r="22" ht="80.09999999999999" customHeight="1">
      <c r="A22" s="5" t="inlineStr">
        <is>
          <t>es_md_016</t>
        </is>
      </c>
      <c r="B22" s="5" t="inlineStr">
        <is>
          <t>El Llagar (Asturiano)</t>
        </is>
      </c>
      <c r="C22" s="5" t="inlineStr">
        <is>
          <t>el-llagar-ferraz-madrid</t>
        </is>
      </c>
      <c r="D22" s="5" t="inlineStr">
        <is>
          <t>ES</t>
        </is>
      </c>
      <c r="E22" s="5" t="inlineStr">
        <is>
          <t>ES-MD</t>
        </is>
      </c>
      <c r="F22" s="5" t="inlineStr">
        <is>
          <t>Comunidad de Madrid</t>
        </is>
      </c>
      <c r="G22" s="5" t="inlineStr">
        <is>
          <t>Madrid</t>
        </is>
      </c>
      <c r="H22" s="5" t="inlineStr">
        <is>
          <t>Madrid</t>
        </is>
      </c>
      <c r="I22" s="5" t="n"/>
      <c r="J22" s="5" t="n"/>
      <c r="K22" s="5" t="inlineStr">
        <is>
          <t>Calle Ferraz</t>
        </is>
      </c>
      <c r="L22" s="5" t="n">
        <v>40.489157</v>
      </c>
      <c r="M22" s="5" t="n">
        <v>-3.36205</v>
      </c>
      <c r="N22" s="5" t="inlineStr">
        <is>
          <t>restaurant</t>
        </is>
      </c>
      <c r="O22" s="5" t="inlineStr">
        <is>
          <t>espanola, asturiana</t>
        </is>
      </c>
      <c r="P22" s="5" t="inlineStr">
        <is>
          <t>€€</t>
        </is>
      </c>
      <c r="Q22" s="5" t="inlineStr">
        <is>
          <t>lunch, dinner</t>
        </is>
      </c>
      <c r="R22" s="6" t="inlineStr">
        <is>
          <t>pending_verification</t>
        </is>
      </c>
      <c r="S22" s="5" t="n"/>
      <c r="T22" s="5" t="n"/>
      <c r="U22" s="5" t="n"/>
      <c r="V22" s="5" t="inlineStr">
        <is>
          <t>Disfrutando sin Gluten: '2023 abrió en Ferraz este restaurante de comida asturiana 100% sin gluten'. PRÜFEN: Hausnummer, aktueller Status.</t>
        </is>
      </c>
      <c r="W22" s="5" t="n"/>
      <c r="X22" s="5" t="b">
        <v>0</v>
      </c>
      <c r="Y22" s="5" t="b">
        <v>0</v>
      </c>
      <c r="Z22" s="5" t="n"/>
      <c r="AA22" s="5" t="n"/>
      <c r="AB22" s="5" t="n"/>
      <c r="AC22" s="5" t="n"/>
      <c r="AD22" s="5" t="n"/>
      <c r="AE22" s="5" t="n"/>
      <c r="AF22" s="5" t="n"/>
      <c r="AG22" s="5" t="n"/>
      <c r="AH22" s="5" t="n"/>
      <c r="AI22" s="5" t="inlineStr">
        <is>
          <t>Restaurante de comida asturiana 100% sin gluten.</t>
        </is>
      </c>
      <c r="AJ22" s="5" t="inlineStr">
        <is>
          <t>100% gluten-free Asturian restaurant.</t>
        </is>
      </c>
      <c r="AK22" s="5" t="inlineStr">
        <is>
          <t>100% glutenfreies asturisches Restaurant.</t>
        </is>
      </c>
      <c r="AL22" s="5" t="n"/>
      <c r="AM22" s="5" t="inlineStr">
        <is>
          <t>blog_research</t>
        </is>
      </c>
      <c r="AN22" s="5" t="inlineStr">
        <is>
          <t>disfrutandosingluten.es (Stand 09/2024)</t>
        </is>
      </c>
      <c r="AO22" s="5" t="inlineStr">
        <is>
          <t>2026-04-25</t>
        </is>
      </c>
      <c r="AP22" s="5" t="inlineStr">
        <is>
          <t>2026-04-25</t>
        </is>
      </c>
    </row>
    <row r="23" ht="80.09999999999999" customHeight="1">
      <c r="A23" s="5" t="inlineStr">
        <is>
          <t>es_md_017</t>
        </is>
      </c>
      <c r="B23" s="5" t="inlineStr">
        <is>
          <t>Alter Café</t>
        </is>
      </c>
      <c r="C23" s="5" t="inlineStr">
        <is>
          <t>alter-cafe-madrid</t>
        </is>
      </c>
      <c r="D23" s="5" t="inlineStr">
        <is>
          <t>ES</t>
        </is>
      </c>
      <c r="E23" s="5" t="inlineStr">
        <is>
          <t>ES-MD</t>
        </is>
      </c>
      <c r="F23" s="5" t="inlineStr">
        <is>
          <t>Comunidad de Madrid</t>
        </is>
      </c>
      <c r="G23" s="5" t="inlineStr">
        <is>
          <t>Madrid</t>
        </is>
      </c>
      <c r="H23" s="5" t="inlineStr">
        <is>
          <t>Madrid</t>
        </is>
      </c>
      <c r="I23" s="5" t="inlineStr">
        <is>
          <t>La Latina</t>
        </is>
      </c>
      <c r="J23" s="5" t="n"/>
      <c r="K23" s="5" t="n"/>
      <c r="L23" s="5" t="n">
        <v>40.416782</v>
      </c>
      <c r="M23" s="5" t="n">
        <v>-3.703507</v>
      </c>
      <c r="N23" s="5" t="inlineStr">
        <is>
          <t>cafe</t>
        </is>
      </c>
      <c r="O23" s="5" t="inlineStr">
        <is>
          <t>saludable, vegana</t>
        </is>
      </c>
      <c r="P23" s="5" t="inlineStr">
        <is>
          <t>€</t>
        </is>
      </c>
      <c r="Q23" s="5" t="inlineStr">
        <is>
          <t>breakfast, brunch, snacks</t>
        </is>
      </c>
      <c r="R23" s="6" t="inlineStr">
        <is>
          <t>pending_verification</t>
        </is>
      </c>
      <c r="S23" s="5" t="n"/>
      <c r="T23" s="5" t="n"/>
      <c r="U23" s="5" t="n"/>
      <c r="V23" s="5" t="inlineStr">
        <is>
          <t>Disfrutando sin Gluten: 'pequeña cafetería donde todo es sin gluten y tienen opciones veganas' nahe La Latina. PRÜFEN: Adresse.</t>
        </is>
      </c>
      <c r="W23" s="5" t="n"/>
      <c r="X23" s="5" t="b">
        <v>0</v>
      </c>
      <c r="Y23" s="5" t="b">
        <v>0</v>
      </c>
      <c r="Z23" s="5" t="inlineStr">
        <is>
          <t>ACSG Madrid</t>
        </is>
      </c>
      <c r="AA23" s="5" t="n"/>
      <c r="AB23" s="5" t="n"/>
      <c r="AC23" s="5" t="n"/>
      <c r="AD23" s="5" t="n"/>
      <c r="AE23" s="5" t="n"/>
      <c r="AF23" s="5" t="n"/>
      <c r="AG23" s="5" t="n"/>
      <c r="AH23" s="5" t="n"/>
      <c r="AI23" s="5" t="inlineStr">
        <is>
          <t>Cafetería 100% sin gluten con opciones veganas en La Latina.</t>
        </is>
      </c>
      <c r="AJ23" s="5" t="inlineStr">
        <is>
          <t>100% gluten-free café with vegan options in La Latina.</t>
        </is>
      </c>
      <c r="AK23" s="5" t="inlineStr">
        <is>
          <t>100% glutenfreies Café mit veganen Optionen in La Latina.</t>
        </is>
      </c>
      <c r="AL23" s="5" t="n"/>
      <c r="AM23" s="5" t="inlineStr">
        <is>
          <t>blog_research</t>
        </is>
      </c>
      <c r="AN23" s="5" t="inlineStr">
        <is>
          <t>disfrutandosingluten.es (Stand 09/2024)</t>
        </is>
      </c>
      <c r="AO23" s="5" t="inlineStr">
        <is>
          <t>2026-04-25</t>
        </is>
      </c>
      <c r="AP23" s="5" t="inlineStr">
        <is>
          <t>2026-04-25</t>
        </is>
      </c>
    </row>
    <row r="24" ht="80.09999999999999" customHeight="1">
      <c r="A24" s="5" t="inlineStr">
        <is>
          <t>es_ct_001</t>
        </is>
      </c>
      <c r="B24" s="5" t="inlineStr">
        <is>
          <t>En Ville Restaurant</t>
        </is>
      </c>
      <c r="C24" s="5" t="inlineStr">
        <is>
          <t>en-ville-barcelona</t>
        </is>
      </c>
      <c r="D24" s="5" t="inlineStr">
        <is>
          <t>ES</t>
        </is>
      </c>
      <c r="E24" s="5" t="inlineStr">
        <is>
          <t>ES-CT</t>
        </is>
      </c>
      <c r="F24" s="5" t="inlineStr">
        <is>
          <t>Cataluña</t>
        </is>
      </c>
      <c r="G24" s="5" t="inlineStr">
        <is>
          <t>Barcelona</t>
        </is>
      </c>
      <c r="H24" s="5" t="inlineStr">
        <is>
          <t>Barcelona</t>
        </is>
      </c>
      <c r="I24" s="5" t="inlineStr">
        <is>
          <t>Raval</t>
        </is>
      </c>
      <c r="J24" s="5" t="n"/>
      <c r="K24" s="5" t="n"/>
      <c r="L24" s="5" t="n">
        <v>41.38258</v>
      </c>
      <c r="M24" s="5" t="n">
        <v>2.177073</v>
      </c>
      <c r="N24" s="5" t="inlineStr">
        <is>
          <t>restaurant</t>
        </is>
      </c>
      <c r="O24" s="5" t="inlineStr">
        <is>
          <t>catalana, mediterranea</t>
        </is>
      </c>
      <c r="P24" s="5" t="inlineStr">
        <is>
          <t>€€€</t>
        </is>
      </c>
      <c r="Q24" s="5" t="inlineStr">
        <is>
          <t>lunch, dinner</t>
        </is>
      </c>
      <c r="R24" s="6" t="inlineStr">
        <is>
          <t>pending_verification</t>
        </is>
      </c>
      <c r="S24" s="5" t="n"/>
      <c r="T24" s="5" t="n"/>
      <c r="U24" s="5" t="n"/>
      <c r="V24" s="5" t="inlineStr">
        <is>
          <t>Eigene Webseite: '100% gluten-free menu', 'specialists in 100% gluten-free dishes'. Historisches Gebäude von 1877 (Rafael Guastavino). PRÜFEN: Adresse + Telefon.</t>
        </is>
      </c>
      <c r="W24" s="5" t="n"/>
      <c r="X24" s="5" t="b">
        <v>0</v>
      </c>
      <c r="Y24" s="5" t="b">
        <v>0</v>
      </c>
      <c r="Z24" s="5" t="inlineStr">
        <is>
          <t>Celiacs Catalunya</t>
        </is>
      </c>
      <c r="AA24" s="5" t="n"/>
      <c r="AB24" s="5" t="n"/>
      <c r="AC24" s="5" t="n"/>
      <c r="AD24" s="5" t="inlineStr">
        <is>
          <t>https://www.envillebarcelona.es</t>
        </is>
      </c>
      <c r="AE24" s="5" t="n"/>
      <c r="AF24" s="5" t="n"/>
      <c r="AG24" s="5" t="n"/>
      <c r="AH24" s="5" t="n"/>
      <c r="AI24" s="5" t="inlineStr">
        <is>
          <t>Restaurante 100% sin gluten en el Raval, cocina catalana creativa.</t>
        </is>
      </c>
      <c r="AJ24" s="5" t="inlineStr">
        <is>
          <t>100% gluten-free restaurant in Raval, creative Catalan cuisine.</t>
        </is>
      </c>
      <c r="AK24" s="5" t="inlineStr">
        <is>
          <t>100% glutenfreies Restaurant im Raval, kreative katalanische Küche.</t>
        </is>
      </c>
      <c r="AL24" s="5" t="n"/>
      <c r="AM24" s="5" t="inlineStr">
        <is>
          <t>official_website</t>
        </is>
      </c>
      <c r="AN24" s="5" t="inlineStr">
        <is>
          <t>envillebarcelona.es (Stand 08/2025)</t>
        </is>
      </c>
      <c r="AO24" s="5" t="inlineStr">
        <is>
          <t>2026-04-25</t>
        </is>
      </c>
      <c r="AP24" s="5" t="inlineStr">
        <is>
          <t>2026-04-25</t>
        </is>
      </c>
    </row>
    <row r="25" ht="80.09999999999999" customHeight="1">
      <c r="A25" s="5" t="inlineStr">
        <is>
          <t>es_ct_002</t>
        </is>
      </c>
      <c r="B25" s="5" t="inlineStr">
        <is>
          <t>Messié Sin Gluten</t>
        </is>
      </c>
      <c r="C25" s="5" t="inlineStr">
        <is>
          <t>messie-sin-gluten-barcelona</t>
        </is>
      </c>
      <c r="D25" s="5" t="inlineStr">
        <is>
          <t>ES</t>
        </is>
      </c>
      <c r="E25" s="5" t="inlineStr">
        <is>
          <t>ES-CT</t>
        </is>
      </c>
      <c r="F25" s="5" t="inlineStr">
        <is>
          <t>Cataluña</t>
        </is>
      </c>
      <c r="G25" s="5" t="inlineStr">
        <is>
          <t>Barcelona</t>
        </is>
      </c>
      <c r="H25" s="5" t="inlineStr">
        <is>
          <t>Barcelona</t>
        </is>
      </c>
      <c r="I25" s="5" t="n"/>
      <c r="J25" s="5" t="n"/>
      <c r="K25" s="5" t="n"/>
      <c r="L25" s="5" t="n">
        <v>41.38258</v>
      </c>
      <c r="M25" s="5" t="n">
        <v>2.177073</v>
      </c>
      <c r="N25" s="5" t="inlineStr">
        <is>
          <t>pizzeria</t>
        </is>
      </c>
      <c r="O25" s="5" t="inlineStr">
        <is>
          <t>italiana, pizzas</t>
        </is>
      </c>
      <c r="P25" s="5" t="inlineStr">
        <is>
          <t>€€</t>
        </is>
      </c>
      <c r="Q25" s="5" t="inlineStr">
        <is>
          <t>lunch, dinner</t>
        </is>
      </c>
      <c r="R25" s="6" t="inlineStr">
        <is>
          <t>pending_verification</t>
        </is>
      </c>
      <c r="S25" s="5" t="n"/>
      <c r="T25" s="5" t="n"/>
      <c r="U25" s="5" t="n"/>
      <c r="V25" s="5" t="inlineStr">
        <is>
          <t>Marchando Viaje: 'Messié Gluten Free, 100% sin gluten'. Mehrfach in Quellen erwähnt. PRÜFEN: Adresse, aktueller Status.</t>
        </is>
      </c>
      <c r="W25" s="5" t="n"/>
      <c r="X25" s="5" t="b">
        <v>0</v>
      </c>
      <c r="Y25" s="5" t="b">
        <v>0</v>
      </c>
      <c r="Z25" s="5" t="inlineStr">
        <is>
          <t>Celiacs Catalunya</t>
        </is>
      </c>
      <c r="AA25" s="5" t="n"/>
      <c r="AB25" s="5" t="n"/>
      <c r="AC25" s="5" t="n"/>
      <c r="AD25" s="5" t="n"/>
      <c r="AE25" s="5" t="n"/>
      <c r="AF25" s="5" t="n"/>
      <c r="AG25" s="5" t="n"/>
      <c r="AH25" s="5" t="n"/>
      <c r="AI25" s="5" t="inlineStr">
        <is>
          <t>Pizzería italiana 100% sin gluten en Barcelona.</t>
        </is>
      </c>
      <c r="AJ25" s="5" t="inlineStr">
        <is>
          <t>100% gluten-free Italian pizzeria in Barcelona.</t>
        </is>
      </c>
      <c r="AK25" s="5" t="inlineStr">
        <is>
          <t>100% glutenfreie italienische Pizzeria in Barcelona.</t>
        </is>
      </c>
      <c r="AL25" s="5" t="n"/>
      <c r="AM25" s="5" t="inlineStr">
        <is>
          <t>blog_research</t>
        </is>
      </c>
      <c r="AN25" s="5" t="inlineStr">
        <is>
          <t>marchandoviaje.com + barcelonaglutenfree.com (Stand 04/2026)</t>
        </is>
      </c>
      <c r="AO25" s="5" t="inlineStr">
        <is>
          <t>2026-04-25</t>
        </is>
      </c>
      <c r="AP25" s="5" t="inlineStr">
        <is>
          <t>2026-04-25</t>
        </is>
      </c>
    </row>
    <row r="26" ht="80.09999999999999" customHeight="1">
      <c r="A26" s="5" t="inlineStr">
        <is>
          <t>es_ct_003</t>
        </is>
      </c>
      <c r="B26" s="5" t="inlineStr">
        <is>
          <t>Manioca</t>
        </is>
      </c>
      <c r="C26" s="5" t="inlineStr">
        <is>
          <t>manioca-barcelona</t>
        </is>
      </c>
      <c r="D26" s="5" t="inlineStr">
        <is>
          <t>ES</t>
        </is>
      </c>
      <c r="E26" s="5" t="inlineStr">
        <is>
          <t>ES-CT</t>
        </is>
      </c>
      <c r="F26" s="5" t="inlineStr">
        <is>
          <t>Cataluña</t>
        </is>
      </c>
      <c r="G26" s="5" t="inlineStr">
        <is>
          <t>Barcelona</t>
        </is>
      </c>
      <c r="H26" s="5" t="inlineStr">
        <is>
          <t>Barcelona</t>
        </is>
      </c>
      <c r="I26" s="5" t="n"/>
      <c r="J26" s="5" t="n"/>
      <c r="K26" s="5" t="n"/>
      <c r="L26" s="5" t="n">
        <v>41.38258</v>
      </c>
      <c r="M26" s="5" t="n">
        <v>2.177073</v>
      </c>
      <c r="N26" s="5" t="inlineStr">
        <is>
          <t>restaurant</t>
        </is>
      </c>
      <c r="O26" s="5" t="inlineStr">
        <is>
          <t>brasileña</t>
        </is>
      </c>
      <c r="P26" s="5" t="inlineStr">
        <is>
          <t>€€</t>
        </is>
      </c>
      <c r="Q26" s="5" t="inlineStr">
        <is>
          <t>lunch, dinner</t>
        </is>
      </c>
      <c r="R26" s="6" t="inlineStr">
        <is>
          <t>pending_verification</t>
        </is>
      </c>
      <c r="S26" s="5" t="n"/>
      <c r="T26" s="5" t="n"/>
      <c r="U26" s="5" t="n"/>
      <c r="V26" s="5" t="inlineStr">
        <is>
          <t>Marchando Viaje: 'Restaurante brasileño 100% sin gluten'. Bloggerin selbst noch nicht ausprobiert. PRÜFEN.</t>
        </is>
      </c>
      <c r="W26" s="5" t="n"/>
      <c r="X26" s="5" t="b">
        <v>0</v>
      </c>
      <c r="Y26" s="5" t="b">
        <v>0</v>
      </c>
      <c r="Z26" s="5" t="n"/>
      <c r="AA26" s="5" t="n"/>
      <c r="AB26" s="5" t="n"/>
      <c r="AC26" s="5" t="n"/>
      <c r="AD26" s="5" t="n"/>
      <c r="AE26" s="5" t="n"/>
      <c r="AF26" s="5" t="n"/>
      <c r="AG26" s="5" t="n"/>
      <c r="AH26" s="5" t="n"/>
      <c r="AI26" s="5" t="inlineStr">
        <is>
          <t>Restaurante brasileño 100% sin gluten.</t>
        </is>
      </c>
      <c r="AJ26" s="5" t="inlineStr">
        <is>
          <t>100% gluten-free Brazilian restaurant.</t>
        </is>
      </c>
      <c r="AK26" s="5" t="inlineStr">
        <is>
          <t>100% glutenfreies brasilianisches Restaurant.</t>
        </is>
      </c>
      <c r="AL26" s="5" t="n"/>
      <c r="AM26" s="5" t="inlineStr">
        <is>
          <t>blog_research</t>
        </is>
      </c>
      <c r="AN26" s="5" t="inlineStr">
        <is>
          <t>marchandoviaje.com (Stand 04/2026)</t>
        </is>
      </c>
      <c r="AO26" s="5" t="inlineStr">
        <is>
          <t>2026-04-25</t>
        </is>
      </c>
      <c r="AP26" s="5" t="inlineStr">
        <is>
          <t>2026-04-25</t>
        </is>
      </c>
    </row>
    <row r="27" ht="80.09999999999999" customHeight="1">
      <c r="A27" s="5" t="inlineStr">
        <is>
          <t>es_ct_004</t>
        </is>
      </c>
      <c r="B27" s="5" t="inlineStr">
        <is>
          <t>M2 Gluten Free</t>
        </is>
      </c>
      <c r="C27" s="5" t="inlineStr">
        <is>
          <t>m2-gluten-free-barcelona</t>
        </is>
      </c>
      <c r="D27" s="5" t="inlineStr">
        <is>
          <t>ES</t>
        </is>
      </c>
      <c r="E27" s="5" t="inlineStr">
        <is>
          <t>ES-CT</t>
        </is>
      </c>
      <c r="F27" s="5" t="inlineStr">
        <is>
          <t>Cataluña</t>
        </is>
      </c>
      <c r="G27" s="5" t="inlineStr">
        <is>
          <t>Barcelona</t>
        </is>
      </c>
      <c r="H27" s="5" t="inlineStr">
        <is>
          <t>Barcelona</t>
        </is>
      </c>
      <c r="I27" s="5" t="n"/>
      <c r="J27" s="5" t="n"/>
      <c r="K27" s="5" t="n"/>
      <c r="L27" s="5" t="n">
        <v>41.38258</v>
      </c>
      <c r="M27" s="5" t="n">
        <v>2.177073</v>
      </c>
      <c r="N27" s="5" t="inlineStr">
        <is>
          <t>restaurant</t>
        </is>
      </c>
      <c r="O27" s="5" t="inlineStr">
        <is>
          <t>internacional, italiana, asiatica</t>
        </is>
      </c>
      <c r="P27" s="5" t="inlineStr">
        <is>
          <t>€€</t>
        </is>
      </c>
      <c r="Q27" s="5" t="inlineStr">
        <is>
          <t>lunch, dinner</t>
        </is>
      </c>
      <c r="R27" s="6" t="inlineStr">
        <is>
          <t>pending_verification</t>
        </is>
      </c>
      <c r="S27" s="5" t="n"/>
      <c r="T27" s="5" t="n"/>
      <c r="U27" s="5" t="n"/>
      <c r="V27" s="5" t="inlineStr">
        <is>
          <t>Marchando Viaje: 'con un poco de todo, pizza, pasta, opciones asiáticas... 100% sin gluten'. PRÜFEN: Adresse, aktueller Status.</t>
        </is>
      </c>
      <c r="W27" s="5" t="n"/>
      <c r="X27" s="5" t="b">
        <v>0</v>
      </c>
      <c r="Y27" s="5" t="b">
        <v>0</v>
      </c>
      <c r="Z27" s="5" t="n"/>
      <c r="AA27" s="5" t="n"/>
      <c r="AB27" s="5" t="n"/>
      <c r="AC27" s="5" t="n"/>
      <c r="AD27" s="5" t="n"/>
      <c r="AE27" s="5" t="n"/>
      <c r="AF27" s="5" t="n"/>
      <c r="AG27" s="5" t="n"/>
      <c r="AH27" s="5" t="n"/>
      <c r="AI27" s="5" t="inlineStr">
        <is>
          <t>Restaurante 100% sin gluten con cocina internacional (pizza, pasta, asiática).</t>
        </is>
      </c>
      <c r="AJ27" s="5" t="inlineStr">
        <is>
          <t>100% gluten-free restaurant with international cuisine (pizza, pasta, Asian).</t>
        </is>
      </c>
      <c r="AK27" s="5" t="inlineStr">
        <is>
          <t>100% glutenfreies Restaurant mit internationaler Küche (Pizza, Pasta, Asiatisch).</t>
        </is>
      </c>
      <c r="AL27" s="5" t="n"/>
      <c r="AM27" s="5" t="inlineStr">
        <is>
          <t>blog_research</t>
        </is>
      </c>
      <c r="AN27" s="5" t="inlineStr">
        <is>
          <t>marchandoviaje.com (Stand 04/2026)</t>
        </is>
      </c>
      <c r="AO27" s="5" t="inlineStr">
        <is>
          <t>2026-04-25</t>
        </is>
      </c>
      <c r="AP27" s="5" t="inlineStr">
        <is>
          <t>2026-04-25</t>
        </is>
      </c>
    </row>
    <row r="28" ht="80.09999999999999" customHeight="1">
      <c r="A28" s="5" t="inlineStr">
        <is>
          <t>es_ct_005</t>
        </is>
      </c>
      <c r="B28" s="5" t="inlineStr">
        <is>
          <t>Kobe (Sushi 100% sin gluten)</t>
        </is>
      </c>
      <c r="C28" s="5" t="inlineStr">
        <is>
          <t>kobe-sushi-barcelona</t>
        </is>
      </c>
      <c r="D28" s="5" t="inlineStr">
        <is>
          <t>ES</t>
        </is>
      </c>
      <c r="E28" s="5" t="inlineStr">
        <is>
          <t>ES-CT</t>
        </is>
      </c>
      <c r="F28" s="5" t="inlineStr">
        <is>
          <t>Cataluña</t>
        </is>
      </c>
      <c r="G28" s="5" t="inlineStr">
        <is>
          <t>Barcelona</t>
        </is>
      </c>
      <c r="H28" s="5" t="inlineStr">
        <is>
          <t>Barcelona</t>
        </is>
      </c>
      <c r="I28" s="5" t="n"/>
      <c r="J28" s="5" t="n"/>
      <c r="K28" s="5" t="n"/>
      <c r="L28" s="5" t="n">
        <v>41.38258</v>
      </c>
      <c r="M28" s="5" t="n">
        <v>2.177073</v>
      </c>
      <c r="N28" s="5" t="inlineStr">
        <is>
          <t>asian_restaurant</t>
        </is>
      </c>
      <c r="O28" s="5" t="inlineStr">
        <is>
          <t>japonesa, sushi</t>
        </is>
      </c>
      <c r="P28" s="5" t="inlineStr">
        <is>
          <t>€€€</t>
        </is>
      </c>
      <c r="Q28" s="5" t="inlineStr">
        <is>
          <t>lunch, dinner</t>
        </is>
      </c>
      <c r="R28" s="6" t="inlineStr">
        <is>
          <t>pending_verification</t>
        </is>
      </c>
      <c r="S28" s="5" t="n"/>
      <c r="T28" s="5" t="n"/>
      <c r="U28" s="5" t="n"/>
      <c r="V28" s="5" t="inlineStr">
        <is>
          <t>Marchando Viaje: 'Nuevo japonés 100% sin gluten en Barcelona'. PRÜFEN: Adresse, aktueller Status.</t>
        </is>
      </c>
      <c r="W28" s="5" t="n"/>
      <c r="X28" s="5" t="b">
        <v>0</v>
      </c>
      <c r="Y28" s="5" t="b">
        <v>0</v>
      </c>
      <c r="Z28" s="5" t="n"/>
      <c r="AA28" s="5" t="n"/>
      <c r="AB28" s="5" t="n"/>
      <c r="AC28" s="5" t="n"/>
      <c r="AD28" s="5" t="n"/>
      <c r="AE28" s="5" t="n"/>
      <c r="AF28" s="5" t="n"/>
      <c r="AG28" s="5" t="n"/>
      <c r="AH28" s="5" t="n"/>
      <c r="AI28" s="5" t="inlineStr">
        <is>
          <t>Restaurante japonés 100% sin gluten en Barcelona.</t>
        </is>
      </c>
      <c r="AJ28" s="5" t="inlineStr">
        <is>
          <t>100% gluten-free Japanese restaurant in Barcelona.</t>
        </is>
      </c>
      <c r="AK28" s="5" t="inlineStr">
        <is>
          <t>100% glutenfreies japanisches Restaurant in Barcelona.</t>
        </is>
      </c>
      <c r="AL28" s="5" t="n"/>
      <c r="AM28" s="5" t="inlineStr">
        <is>
          <t>blog_research</t>
        </is>
      </c>
      <c r="AN28" s="5" t="inlineStr">
        <is>
          <t>marchandoviaje.com (Stand 04/2026)</t>
        </is>
      </c>
      <c r="AO28" s="5" t="inlineStr">
        <is>
          <t>2026-04-25</t>
        </is>
      </c>
      <c r="AP28" s="5" t="inlineStr">
        <is>
          <t>2026-04-25</t>
        </is>
      </c>
    </row>
    <row r="29" ht="80.09999999999999" customHeight="1">
      <c r="A29" s="5" t="inlineStr">
        <is>
          <t>es_ct_006</t>
        </is>
      </c>
      <c r="B29" s="5" t="inlineStr">
        <is>
          <t>Veganashi</t>
        </is>
      </c>
      <c r="C29" s="5" t="inlineStr">
        <is>
          <t>veganashi-barcelona</t>
        </is>
      </c>
      <c r="D29" s="5" t="inlineStr">
        <is>
          <t>ES</t>
        </is>
      </c>
      <c r="E29" s="5" t="inlineStr">
        <is>
          <t>ES-CT</t>
        </is>
      </c>
      <c r="F29" s="5" t="inlineStr">
        <is>
          <t>Cataluña</t>
        </is>
      </c>
      <c r="G29" s="5" t="inlineStr">
        <is>
          <t>Barcelona</t>
        </is>
      </c>
      <c r="H29" s="5" t="inlineStr">
        <is>
          <t>Barcelona</t>
        </is>
      </c>
      <c r="I29" s="5" t="n"/>
      <c r="J29" s="5" t="n"/>
      <c r="K29" s="5" t="n"/>
      <c r="L29" s="5" t="n">
        <v>41.38258</v>
      </c>
      <c r="M29" s="5" t="n">
        <v>2.177073</v>
      </c>
      <c r="N29" s="5" t="inlineStr">
        <is>
          <t>asian_restaurant</t>
        </is>
      </c>
      <c r="O29" s="5" t="inlineStr">
        <is>
          <t>japonesa, sushi, vegana</t>
        </is>
      </c>
      <c r="P29" s="5" t="inlineStr">
        <is>
          <t>€€</t>
        </is>
      </c>
      <c r="Q29" s="5" t="inlineStr">
        <is>
          <t>lunch, dinner</t>
        </is>
      </c>
      <c r="R29" s="6" t="inlineStr">
        <is>
          <t>pending_verification</t>
        </is>
      </c>
      <c r="S29" s="5" t="n"/>
      <c r="T29" s="5" t="n"/>
      <c r="U29" s="5" t="n"/>
      <c r="V29" s="5" t="inlineStr">
        <is>
          <t>Marchando Viaje: 'Sushi 100% sin gluten y vegano'. PRÜFEN: Adresse.</t>
        </is>
      </c>
      <c r="W29" s="5" t="n"/>
      <c r="X29" s="5" t="b">
        <v>0</v>
      </c>
      <c r="Y29" s="5" t="b">
        <v>0</v>
      </c>
      <c r="Z29" s="5" t="n"/>
      <c r="AA29" s="5" t="n"/>
      <c r="AB29" s="5" t="n"/>
      <c r="AC29" s="5" t="n"/>
      <c r="AD29" s="5" t="n"/>
      <c r="AE29" s="5" t="n"/>
      <c r="AF29" s="5" t="n"/>
      <c r="AG29" s="5" t="n"/>
      <c r="AH29" s="5" t="n"/>
      <c r="AI29" s="5" t="inlineStr">
        <is>
          <t>Sushi 100% sin gluten y 100% vegano.</t>
        </is>
      </c>
      <c r="AJ29" s="5" t="inlineStr">
        <is>
          <t>100% gluten-free and 100% vegan sushi.</t>
        </is>
      </c>
      <c r="AK29" s="5" t="inlineStr">
        <is>
          <t>100% glutenfreies und 100% veganes Sushi.</t>
        </is>
      </c>
      <c r="AL29" s="5" t="n"/>
      <c r="AM29" s="5" t="inlineStr">
        <is>
          <t>blog_research</t>
        </is>
      </c>
      <c r="AN29" s="5" t="inlineStr">
        <is>
          <t>marchandoviaje.com (Stand 04/2026)</t>
        </is>
      </c>
      <c r="AO29" s="5" t="inlineStr">
        <is>
          <t>2026-04-25</t>
        </is>
      </c>
      <c r="AP29" s="5" t="inlineStr">
        <is>
          <t>2026-04-25</t>
        </is>
      </c>
    </row>
    <row r="30" ht="80.09999999999999" customHeight="1">
      <c r="A30" s="5" t="inlineStr">
        <is>
          <t>es_ct_007</t>
        </is>
      </c>
      <c r="B30" s="5" t="inlineStr">
        <is>
          <t>A Vocados Free</t>
        </is>
      </c>
      <c r="C30" s="5" t="inlineStr">
        <is>
          <t>a-vocados-free-barcelona</t>
        </is>
      </c>
      <c r="D30" s="5" t="inlineStr">
        <is>
          <t>ES</t>
        </is>
      </c>
      <c r="E30" s="5" t="inlineStr">
        <is>
          <t>ES-CT</t>
        </is>
      </c>
      <c r="F30" s="5" t="inlineStr">
        <is>
          <t>Cataluña</t>
        </is>
      </c>
      <c r="G30" s="5" t="inlineStr">
        <is>
          <t>Barcelona</t>
        </is>
      </c>
      <c r="H30" s="5" t="inlineStr">
        <is>
          <t>Barcelona</t>
        </is>
      </c>
      <c r="I30" s="5" t="inlineStr">
        <is>
          <t>Eixample</t>
        </is>
      </c>
      <c r="J30" s="5" t="n"/>
      <c r="K30" s="5" t="inlineStr">
        <is>
          <t>Carrer Enric Granados</t>
        </is>
      </c>
      <c r="L30" s="5" t="n">
        <v>41.3852</v>
      </c>
      <c r="M30" s="5" t="n">
        <v>1.997837</v>
      </c>
      <c r="N30" s="5" t="inlineStr">
        <is>
          <t>restaurant</t>
        </is>
      </c>
      <c r="O30" s="5" t="inlineStr">
        <is>
          <t>saludable, vegana</t>
        </is>
      </c>
      <c r="P30" s="5" t="inlineStr">
        <is>
          <t>€€</t>
        </is>
      </c>
      <c r="Q30" s="5" t="inlineStr">
        <is>
          <t>brunch, lunch</t>
        </is>
      </c>
      <c r="R30" s="6" t="inlineStr">
        <is>
          <t>pending_verification</t>
        </is>
      </c>
      <c r="S30" s="5" t="n"/>
      <c r="T30" s="5" t="n"/>
      <c r="U30" s="5" t="n"/>
      <c r="V30" s="5" t="inlineStr">
        <is>
          <t>Barcelona Gluten Free Blog: 'restaurante 100% sin gluten' in C/Enric Granados. PRÜFEN: Hausnummer, aktueller Status.</t>
        </is>
      </c>
      <c r="W30" s="5" t="n"/>
      <c r="X30" s="5" t="b">
        <v>0</v>
      </c>
      <c r="Y30" s="5" t="b">
        <v>0</v>
      </c>
      <c r="Z30" s="5" t="inlineStr">
        <is>
          <t>Celiacs Catalunya</t>
        </is>
      </c>
      <c r="AA30" s="5" t="n"/>
      <c r="AB30" s="5" t="n"/>
      <c r="AC30" s="5" t="n"/>
      <c r="AD30" s="5" t="n"/>
      <c r="AE30" s="5" t="n"/>
      <c r="AF30" s="5" t="n"/>
      <c r="AG30" s="5" t="n"/>
      <c r="AH30" s="5" t="n"/>
      <c r="AI30" s="5" t="inlineStr">
        <is>
          <t>Restaurante 100% sin gluten en Eixample.</t>
        </is>
      </c>
      <c r="AJ30" s="5" t="inlineStr">
        <is>
          <t>100% gluten-free restaurant in Eixample.</t>
        </is>
      </c>
      <c r="AK30" s="5" t="inlineStr">
        <is>
          <t>100% glutenfreies Restaurant im Eixample.</t>
        </is>
      </c>
      <c r="AL30" s="5" t="n"/>
      <c r="AM30" s="5" t="inlineStr">
        <is>
          <t>blog_research</t>
        </is>
      </c>
      <c r="AN30" s="5" t="inlineStr">
        <is>
          <t>barcelonaglutenfree.com (Stand 2024)</t>
        </is>
      </c>
      <c r="AO30" s="5" t="inlineStr">
        <is>
          <t>2026-04-25</t>
        </is>
      </c>
      <c r="AP30" s="5" t="inlineStr">
        <is>
          <t>2026-04-25</t>
        </is>
      </c>
    </row>
    <row r="31" ht="80.09999999999999" customHeight="1">
      <c r="A31" s="5" t="inlineStr">
        <is>
          <t>es_ct_008</t>
        </is>
      </c>
      <c r="B31" s="5" t="inlineStr">
        <is>
          <t>Let It V</t>
        </is>
      </c>
      <c r="C31" s="5" t="inlineStr">
        <is>
          <t>let-it-v-barcelona</t>
        </is>
      </c>
      <c r="D31" s="5" t="inlineStr">
        <is>
          <t>ES</t>
        </is>
      </c>
      <c r="E31" s="5" t="inlineStr">
        <is>
          <t>ES-CT</t>
        </is>
      </c>
      <c r="F31" s="5" t="inlineStr">
        <is>
          <t>Cataluña</t>
        </is>
      </c>
      <c r="G31" s="5" t="inlineStr">
        <is>
          <t>Barcelona</t>
        </is>
      </c>
      <c r="H31" s="5" t="inlineStr">
        <is>
          <t>Barcelona</t>
        </is>
      </c>
      <c r="I31" s="5" t="inlineStr">
        <is>
          <t>Eixample</t>
        </is>
      </c>
      <c r="J31" s="5" t="n"/>
      <c r="K31" s="5" t="inlineStr">
        <is>
          <t>Calle Casanova</t>
        </is>
      </c>
      <c r="L31" s="5" t="n">
        <v>41.38258</v>
      </c>
      <c r="M31" s="5" t="n">
        <v>2.177073</v>
      </c>
      <c r="N31" s="5" t="inlineStr">
        <is>
          <t>restaurant</t>
        </is>
      </c>
      <c r="O31" s="5" t="inlineStr">
        <is>
          <t>vegana, internacional</t>
        </is>
      </c>
      <c r="P31" s="5" t="inlineStr">
        <is>
          <t>€€</t>
        </is>
      </c>
      <c r="Q31" s="5" t="inlineStr">
        <is>
          <t>lunch, dinner</t>
        </is>
      </c>
      <c r="R31" s="6" t="inlineStr">
        <is>
          <t>pending_verification</t>
        </is>
      </c>
      <c r="S31" s="5" t="n"/>
      <c r="T31" s="5" t="n"/>
      <c r="U31" s="5" t="n"/>
      <c r="V31" s="5" t="inlineStr">
        <is>
          <t>Barcelona Gluten Free Blog: 'sitio donde toda la carta es vegana y 100% sin gluten' + Celiacs de Catalunya zertifiziert. PRÜFEN: Hausnummer.</t>
        </is>
      </c>
      <c r="W31" s="5" t="n"/>
      <c r="X31" s="5" t="b">
        <v>0</v>
      </c>
      <c r="Y31" s="5" t="b">
        <v>0</v>
      </c>
      <c r="Z31" s="5" t="inlineStr">
        <is>
          <t>Celiacs Catalunya</t>
        </is>
      </c>
      <c r="AA31" s="5" t="n"/>
      <c r="AB31" s="5" t="n"/>
      <c r="AC31" s="5" t="n"/>
      <c r="AD31" s="5" t="n"/>
      <c r="AE31" s="5" t="n"/>
      <c r="AF31" s="5" t="n"/>
      <c r="AG31" s="5" t="n"/>
      <c r="AH31" s="5" t="n"/>
      <c r="AI31" s="5" t="inlineStr">
        <is>
          <t>Restaurante 100% vegano y 100% sin gluten cerca de Francesc Macià.</t>
        </is>
      </c>
      <c r="AJ31" s="5" t="inlineStr">
        <is>
          <t>100% vegan and 100% gluten-free restaurant near Francesc Macià.</t>
        </is>
      </c>
      <c r="AK31" s="5" t="inlineStr">
        <is>
          <t>100% veganes und 100% glutenfreies Restaurant nahe Francesc Macià.</t>
        </is>
      </c>
      <c r="AL31" s="5" t="n"/>
      <c r="AM31" s="5" t="inlineStr">
        <is>
          <t>regional_association</t>
        </is>
      </c>
      <c r="AN31" s="5" t="inlineStr">
        <is>
          <t>barcelonaglutenfree.com + Celiacs Catalunya (Stand 2024)</t>
        </is>
      </c>
      <c r="AO31" s="5" t="inlineStr">
        <is>
          <t>2026-04-25</t>
        </is>
      </c>
      <c r="AP31" s="5" t="inlineStr">
        <is>
          <t>2026-04-25</t>
        </is>
      </c>
    </row>
    <row r="32" ht="80.09999999999999" customHeight="1">
      <c r="A32" s="5" t="inlineStr">
        <is>
          <t>es_ct_009</t>
        </is>
      </c>
      <c r="B32" s="5" t="inlineStr">
        <is>
          <t>Pötstöt</t>
        </is>
      </c>
      <c r="C32" s="5" t="inlineStr">
        <is>
          <t>potstot-barcelona</t>
        </is>
      </c>
      <c r="D32" s="5" t="inlineStr">
        <is>
          <t>ES</t>
        </is>
      </c>
      <c r="E32" s="5" t="inlineStr">
        <is>
          <t>ES-CT</t>
        </is>
      </c>
      <c r="F32" s="5" t="inlineStr">
        <is>
          <t>Cataluña</t>
        </is>
      </c>
      <c r="G32" s="5" t="inlineStr">
        <is>
          <t>Barcelona</t>
        </is>
      </c>
      <c r="H32" s="5" t="inlineStr">
        <is>
          <t>Barcelona</t>
        </is>
      </c>
      <c r="I32" s="5" t="n"/>
      <c r="J32" s="5" t="n"/>
      <c r="K32" s="5" t="n"/>
      <c r="L32" s="5" t="n">
        <v>41.38258</v>
      </c>
      <c r="M32" s="5" t="n">
        <v>2.177073</v>
      </c>
      <c r="N32" s="5" t="inlineStr">
        <is>
          <t>restaurant</t>
        </is>
      </c>
      <c r="O32" s="5" t="inlineStr">
        <is>
          <t>internacional</t>
        </is>
      </c>
      <c r="P32" s="5" t="inlineStr">
        <is>
          <t>€€</t>
        </is>
      </c>
      <c r="Q32" s="5" t="inlineStr">
        <is>
          <t>lunch, dinner</t>
        </is>
      </c>
      <c r="R32" s="6" t="inlineStr">
        <is>
          <t>pending_verification</t>
        </is>
      </c>
      <c r="S32" s="5" t="n"/>
      <c r="T32" s="5" t="n"/>
      <c r="U32" s="5" t="n"/>
      <c r="V32" s="5" t="inlineStr">
        <is>
          <t>Barcelona Gluten Free Blog: 'es un sitio 100% sin gluten'. PRÜFEN: Adresse, Konzept.</t>
        </is>
      </c>
      <c r="W32" s="5" t="n"/>
      <c r="X32" s="5" t="b">
        <v>0</v>
      </c>
      <c r="Y32" s="5" t="b">
        <v>0</v>
      </c>
      <c r="Z32" s="5" t="n"/>
      <c r="AA32" s="5" t="n"/>
      <c r="AB32" s="5" t="n"/>
      <c r="AC32" s="5" t="n"/>
      <c r="AD32" s="5" t="n"/>
      <c r="AE32" s="5" t="n"/>
      <c r="AF32" s="5" t="n"/>
      <c r="AG32" s="5" t="n"/>
      <c r="AH32" s="5" t="n"/>
      <c r="AI32" s="5" t="inlineStr">
        <is>
          <t>Restaurante 100% sin gluten en Barcelona.</t>
        </is>
      </c>
      <c r="AJ32" s="5" t="inlineStr">
        <is>
          <t>100% gluten-free restaurant in Barcelona.</t>
        </is>
      </c>
      <c r="AK32" s="5" t="inlineStr">
        <is>
          <t>100% glutenfreies Restaurant in Barcelona.</t>
        </is>
      </c>
      <c r="AL32" s="5" t="n"/>
      <c r="AM32" s="5" t="inlineStr">
        <is>
          <t>blog_research</t>
        </is>
      </c>
      <c r="AN32" s="5" t="inlineStr">
        <is>
          <t>barcelonaglutenfree.com</t>
        </is>
      </c>
      <c r="AO32" s="5" t="inlineStr">
        <is>
          <t>2026-04-25</t>
        </is>
      </c>
      <c r="AP32" s="5" t="inlineStr">
        <is>
          <t>2026-04-25</t>
        </is>
      </c>
    </row>
    <row r="33" ht="80.09999999999999" customHeight="1">
      <c r="A33" s="5" t="inlineStr">
        <is>
          <t>es_ct_010</t>
        </is>
      </c>
      <c r="B33" s="5" t="inlineStr">
        <is>
          <t>Pizza Natura Pau Claris</t>
        </is>
      </c>
      <c r="C33" s="5" t="inlineStr">
        <is>
          <t>pizza-natura-pau-claris-barcelona</t>
        </is>
      </c>
      <c r="D33" s="5" t="inlineStr">
        <is>
          <t>ES</t>
        </is>
      </c>
      <c r="E33" s="5" t="inlineStr">
        <is>
          <t>ES-CT</t>
        </is>
      </c>
      <c r="F33" s="5" t="inlineStr">
        <is>
          <t>Cataluña</t>
        </is>
      </c>
      <c r="G33" s="5" t="inlineStr">
        <is>
          <t>Barcelona</t>
        </is>
      </c>
      <c r="H33" s="5" t="inlineStr">
        <is>
          <t>Barcelona</t>
        </is>
      </c>
      <c r="I33" s="5" t="inlineStr">
        <is>
          <t>Eixample</t>
        </is>
      </c>
      <c r="J33" s="5" t="n"/>
      <c r="K33" s="5" t="inlineStr">
        <is>
          <t>Carrer Pau Claris, 153</t>
        </is>
      </c>
      <c r="L33" s="5" t="n">
        <v>41.913786</v>
      </c>
      <c r="M33" s="5" t="n">
        <v>2.230258</v>
      </c>
      <c r="N33" s="5" t="inlineStr">
        <is>
          <t>pizzeria</t>
        </is>
      </c>
      <c r="O33" s="5" t="inlineStr">
        <is>
          <t>italiana, pizzas, vegana</t>
        </is>
      </c>
      <c r="P33" s="5" t="inlineStr">
        <is>
          <t>€€</t>
        </is>
      </c>
      <c r="Q33" s="5" t="inlineStr">
        <is>
          <t>lunch, dinner</t>
        </is>
      </c>
      <c r="R33" s="6" t="inlineStr">
        <is>
          <t>pending_verification</t>
        </is>
      </c>
      <c r="S33" s="5" t="n"/>
      <c r="T33" s="5" t="n"/>
      <c r="U33" s="5" t="n"/>
      <c r="V33" s="5" t="inlineStr">
        <is>
          <t>Happy Celiac: '2023 Pizza Natura, amb tots els plats i postres son lliures de gluten'. PRÜFEN: aktueller Status.</t>
        </is>
      </c>
      <c r="W33" s="5" t="n"/>
      <c r="X33" s="5" t="b">
        <v>0</v>
      </c>
      <c r="Y33" s="5" t="b">
        <v>0</v>
      </c>
      <c r="Z33" s="5" t="n"/>
      <c r="AA33" s="5" t="n"/>
      <c r="AB33" s="5" t="n"/>
      <c r="AC33" s="5" t="n"/>
      <c r="AD33" s="5" t="n"/>
      <c r="AE33" s="5" t="n"/>
      <c r="AF33" s="5" t="n"/>
      <c r="AG33" s="5" t="n"/>
      <c r="AH33" s="5" t="n"/>
      <c r="AI33" s="5" t="inlineStr">
        <is>
          <t>Pizzería 100% sin gluten con opciones veganas.</t>
        </is>
      </c>
      <c r="AJ33" s="5" t="inlineStr">
        <is>
          <t>100% gluten-free pizzeria with vegan options.</t>
        </is>
      </c>
      <c r="AK33" s="5" t="inlineStr">
        <is>
          <t>100% glutenfreie Pizzeria mit veganen Optionen.</t>
        </is>
      </c>
      <c r="AL33" s="5" t="n"/>
      <c r="AM33" s="5" t="inlineStr">
        <is>
          <t>blog_research</t>
        </is>
      </c>
      <c r="AN33" s="5" t="inlineStr">
        <is>
          <t>happyceliac.com (Stand 2023, evtl. veraltet)</t>
        </is>
      </c>
      <c r="AO33" s="5" t="inlineStr">
        <is>
          <t>2026-04-25</t>
        </is>
      </c>
      <c r="AP33" s="5" t="inlineStr">
        <is>
          <t>2026-04-25</t>
        </is>
      </c>
    </row>
    <row r="34" ht="80.09999999999999" customHeight="1">
      <c r="A34" s="5" t="inlineStr">
        <is>
          <t>es_ct_011</t>
        </is>
      </c>
      <c r="B34" s="5" t="inlineStr">
        <is>
          <t>Chök BCN Ramelleres</t>
        </is>
      </c>
      <c r="C34" s="5" t="inlineStr">
        <is>
          <t>chok-ramelleres-barcelona</t>
        </is>
      </c>
      <c r="D34" s="5" t="inlineStr">
        <is>
          <t>ES</t>
        </is>
      </c>
      <c r="E34" s="5" t="inlineStr">
        <is>
          <t>ES-CT</t>
        </is>
      </c>
      <c r="F34" s="5" t="inlineStr">
        <is>
          <t>Cataluña</t>
        </is>
      </c>
      <c r="G34" s="5" t="inlineStr">
        <is>
          <t>Barcelona</t>
        </is>
      </c>
      <c r="H34" s="5" t="inlineStr">
        <is>
          <t>Barcelona</t>
        </is>
      </c>
      <c r="I34" s="5" t="inlineStr">
        <is>
          <t>Ciutat Vella</t>
        </is>
      </c>
      <c r="J34" s="5" t="inlineStr">
        <is>
          <t>08001</t>
        </is>
      </c>
      <c r="K34" s="5" t="inlineStr">
        <is>
          <t>C/ Ramelleres, 26</t>
        </is>
      </c>
      <c r="L34" s="5" t="n">
        <v>41.384658</v>
      </c>
      <c r="M34" s="5" t="n">
        <v>2.168323</v>
      </c>
      <c r="N34" s="5" t="inlineStr">
        <is>
          <t>pastry_shop</t>
        </is>
      </c>
      <c r="O34" s="5" t="inlineStr">
        <is>
          <t>saludable</t>
        </is>
      </c>
      <c r="P34" s="5" t="inlineStr">
        <is>
          <t>€€</t>
        </is>
      </c>
      <c r="Q34" s="5" t="inlineStr">
        <is>
          <t>snacks</t>
        </is>
      </c>
      <c r="R34" s="6" t="inlineStr">
        <is>
          <t>pending_verification</t>
        </is>
      </c>
      <c r="S34" s="5" t="n"/>
      <c r="T34" s="5" t="n"/>
      <c r="U34" s="5" t="n"/>
      <c r="V34" s="5" t="inlineStr">
        <is>
          <t>ACHTUNG: Chök hat mehrere Filialen, NUR die in Ramelleres ist 100% GF. Andere Filialen führen Gluten. Happy Celiac warnt explizit. PRÜFEN: ist diese Filiale weiterhin geöffnet?</t>
        </is>
      </c>
      <c r="W34" s="5" t="n"/>
      <c r="X34" s="5" t="b">
        <v>0</v>
      </c>
      <c r="Y34" s="5" t="b">
        <v>0</v>
      </c>
      <c r="Z34" s="5" t="n"/>
      <c r="AA34" s="5" t="inlineStr">
        <is>
          <t>+34936817849</t>
        </is>
      </c>
      <c r="AB34" s="5" t="n"/>
      <c r="AC34" s="5" t="n"/>
      <c r="AD34" s="5" t="inlineStr">
        <is>
          <t>https://www.chok.shop</t>
        </is>
      </c>
      <c r="AE34" s="5" t="n"/>
      <c r="AF34" s="5" t="n"/>
      <c r="AG34" s="5" t="n"/>
      <c r="AH34" s="5" t="n"/>
      <c r="AI34" s="5" t="inlineStr">
        <is>
          <t>Pastelería 100% sin gluten (solo este local; otros Chök tienen gluten).</t>
        </is>
      </c>
      <c r="AJ34" s="5" t="inlineStr">
        <is>
          <t>100% gluten-free bakery (only this branch; other Chök locations contain gluten).</t>
        </is>
      </c>
      <c r="AK34" s="5" t="inlineStr">
        <is>
          <t>100% glutenfreie Konditorei (nur diese Filiale; andere Chök-Standorte enthalten Gluten).</t>
        </is>
      </c>
      <c r="AL34" s="5" t="n"/>
      <c r="AM34" s="5" t="inlineStr">
        <is>
          <t>blog_research</t>
        </is>
      </c>
      <c r="AN34" s="5" t="inlineStr">
        <is>
          <t>happyceliac.com (Stand 2023). WICHTIG: nur Ramelleres-Filiale!</t>
        </is>
      </c>
      <c r="AO34" s="5" t="inlineStr">
        <is>
          <t>2026-04-25</t>
        </is>
      </c>
      <c r="AP34" s="5" t="inlineStr">
        <is>
          <t>2026-04-25</t>
        </is>
      </c>
    </row>
    <row r="35" ht="80.09999999999999" customHeight="1">
      <c r="A35" s="5" t="inlineStr">
        <is>
          <t>es_ct_012</t>
        </is>
      </c>
      <c r="B35" s="5" t="inlineStr">
        <is>
          <t>BanAnna Cakes</t>
        </is>
      </c>
      <c r="C35" s="5" t="inlineStr">
        <is>
          <t>bananna-cakes-barcelona</t>
        </is>
      </c>
      <c r="D35" s="5" t="inlineStr">
        <is>
          <t>ES</t>
        </is>
      </c>
      <c r="E35" s="5" t="inlineStr">
        <is>
          <t>ES-CT</t>
        </is>
      </c>
      <c r="F35" s="5" t="inlineStr">
        <is>
          <t>Cataluña</t>
        </is>
      </c>
      <c r="G35" s="5" t="inlineStr">
        <is>
          <t>Barcelona</t>
        </is>
      </c>
      <c r="H35" s="5" t="inlineStr">
        <is>
          <t>Barcelona</t>
        </is>
      </c>
      <c r="I35" s="5" t="inlineStr">
        <is>
          <t>Eixample</t>
        </is>
      </c>
      <c r="J35" s="5" t="n"/>
      <c r="K35" s="5" t="inlineStr">
        <is>
          <t>C/ Diputació, 188</t>
        </is>
      </c>
      <c r="L35" s="5" t="n">
        <v>41.789657</v>
      </c>
      <c r="M35" s="5" t="n">
        <v>1.940241</v>
      </c>
      <c r="N35" s="5" t="inlineStr">
        <is>
          <t>pastry_shop</t>
        </is>
      </c>
      <c r="O35" s="5" t="inlineStr">
        <is>
          <t>saludable</t>
        </is>
      </c>
      <c r="P35" s="5" t="inlineStr">
        <is>
          <t>€€</t>
        </is>
      </c>
      <c r="Q35" s="5" t="inlineStr">
        <is>
          <t>snacks</t>
        </is>
      </c>
      <c r="R35" s="6" t="inlineStr">
        <is>
          <t>pending_verification</t>
        </is>
      </c>
      <c r="S35" s="5" t="n"/>
      <c r="T35" s="5" t="n"/>
      <c r="U35" s="5" t="n"/>
      <c r="V35" s="5" t="inlineStr">
        <is>
          <t>Inhaberin Anna selbst: 'estamos en c/ Diputación 188 de Barcelona... certificados por la ACC como establecimiento libre de gluten 100%'. PRÜFEN: aktueller Status.</t>
        </is>
      </c>
      <c r="W35" s="5" t="n"/>
      <c r="X35" s="5" t="b">
        <v>0</v>
      </c>
      <c r="Y35" s="5" t="b">
        <v>0</v>
      </c>
      <c r="Z35" s="5" t="inlineStr">
        <is>
          <t>Celiacs Catalunya</t>
        </is>
      </c>
      <c r="AA35" s="5" t="n"/>
      <c r="AB35" s="5" t="n"/>
      <c r="AC35" s="5" t="n"/>
      <c r="AD35" s="5" t="n"/>
      <c r="AE35" s="5" t="n"/>
      <c r="AF35" s="5" t="n"/>
      <c r="AG35" s="5" t="n"/>
      <c r="AH35" s="5" t="n"/>
      <c r="AI35" s="5" t="inlineStr">
        <is>
          <t>Pastelería 100% sin gluten certificada por ACC. Sin azúcares refinados.</t>
        </is>
      </c>
      <c r="AJ35" s="5" t="inlineStr">
        <is>
          <t>ACC-certified 100% gluten-free bakery. No refined sugars.</t>
        </is>
      </c>
      <c r="AK35" s="5" t="inlineStr">
        <is>
          <t>ACC-zertifizierte 100% glutenfreie Konditorei. Ohne raffinierten Zucker.</t>
        </is>
      </c>
      <c r="AL35" s="5" t="n"/>
      <c r="AM35" s="5" t="inlineStr">
        <is>
          <t>regional_association</t>
        </is>
      </c>
      <c r="AN35" s="5" t="inlineStr">
        <is>
          <t>happyceliac.com Kommentar der Inhaberin (Stand 2023)</t>
        </is>
      </c>
      <c r="AO35" s="5" t="inlineStr">
        <is>
          <t>2026-04-25</t>
        </is>
      </c>
      <c r="AP35" s="5" t="inlineStr">
        <is>
          <t>2026-04-25</t>
        </is>
      </c>
    </row>
    <row r="36" ht="80.09999999999999" customHeight="1">
      <c r="A36" s="5" t="inlineStr">
        <is>
          <t>es_ct_013</t>
        </is>
      </c>
      <c r="B36" s="5" t="inlineStr">
        <is>
          <t>Jansana</t>
        </is>
      </c>
      <c r="C36" s="5" t="inlineStr">
        <is>
          <t>jansana-barcelona</t>
        </is>
      </c>
      <c r="D36" s="5" t="inlineStr">
        <is>
          <t>ES</t>
        </is>
      </c>
      <c r="E36" s="5" t="inlineStr">
        <is>
          <t>ES-CT</t>
        </is>
      </c>
      <c r="F36" s="5" t="inlineStr">
        <is>
          <t>Cataluña</t>
        </is>
      </c>
      <c r="G36" s="5" t="inlineStr">
        <is>
          <t>Barcelona</t>
        </is>
      </c>
      <c r="H36" s="5" t="inlineStr">
        <is>
          <t>Barcelona</t>
        </is>
      </c>
      <c r="I36" s="5" t="inlineStr">
        <is>
          <t>Eixample</t>
        </is>
      </c>
      <c r="J36" s="5" t="n"/>
      <c r="K36" s="5" t="inlineStr">
        <is>
          <t>Carrer Balmes, 106</t>
        </is>
      </c>
      <c r="L36" s="5" t="n">
        <v>41.392297</v>
      </c>
      <c r="M36" s="5" t="n">
        <v>2.158861</v>
      </c>
      <c r="N36" s="5" t="inlineStr">
        <is>
          <t>bakery</t>
        </is>
      </c>
      <c r="O36" s="5" t="inlineStr">
        <is>
          <t>saludable</t>
        </is>
      </c>
      <c r="P36" s="5" t="inlineStr">
        <is>
          <t>€€</t>
        </is>
      </c>
      <c r="Q36" s="5" t="inlineStr">
        <is>
          <t>breakfast, snacks</t>
        </is>
      </c>
      <c r="R36" s="6" t="inlineStr">
        <is>
          <t>pending_verification</t>
        </is>
      </c>
      <c r="S36" s="5" t="n"/>
      <c r="T36" s="5" t="n"/>
      <c r="U36" s="5" t="n"/>
      <c r="V36" s="5" t="inlineStr">
        <is>
          <t>Maná 75: 'Jansana es una pastelería 100% sin gluten que ha conquistado a locales y visitantes... Desde 2015'. PRÜFEN.</t>
        </is>
      </c>
      <c r="W36" s="5" t="n"/>
      <c r="X36" s="5" t="b">
        <v>0</v>
      </c>
      <c r="Y36" s="5" t="b">
        <v>0</v>
      </c>
      <c r="Z36" s="5" t="n"/>
      <c r="AA36" s="5" t="n"/>
      <c r="AB36" s="5" t="n"/>
      <c r="AC36" s="5" t="n"/>
      <c r="AD36" s="5" t="n"/>
      <c r="AE36" s="5" t="n"/>
      <c r="AF36" s="5" t="n"/>
      <c r="AG36" s="5" t="n"/>
      <c r="AH36" s="5" t="n"/>
      <c r="AI36" s="5" t="inlineStr">
        <is>
          <t>Panadería y pastelería 100% sin gluten desde 2015. Obrador propio.</t>
        </is>
      </c>
      <c r="AJ36" s="5" t="inlineStr">
        <is>
          <t>100% gluten-free bakery since 2015 with own production.</t>
        </is>
      </c>
      <c r="AK36" s="5" t="inlineStr">
        <is>
          <t>100% glutenfreie Bäckerei seit 2015 mit eigener Produktion.</t>
        </is>
      </c>
      <c r="AL36" s="5" t="n"/>
      <c r="AM36" s="5" t="inlineStr">
        <is>
          <t>blog_research</t>
        </is>
      </c>
      <c r="AN36" s="5" t="inlineStr">
        <is>
          <t>mana75.es (Stand 05/2025)</t>
        </is>
      </c>
      <c r="AO36" s="5" t="inlineStr">
        <is>
          <t>2026-04-25</t>
        </is>
      </c>
      <c r="AP36" s="5" t="inlineStr">
        <is>
          <t>2026-04-25</t>
        </is>
      </c>
    </row>
    <row r="37" ht="80.09999999999999" customHeight="1">
      <c r="A37" s="5" t="inlineStr">
        <is>
          <t>es_ct_014</t>
        </is>
      </c>
      <c r="B37" s="5" t="inlineStr">
        <is>
          <t>Maná 75</t>
        </is>
      </c>
      <c r="C37" s="5" t="inlineStr">
        <is>
          <t>mana-75-barcelona</t>
        </is>
      </c>
      <c r="D37" s="5" t="inlineStr">
        <is>
          <t>ES</t>
        </is>
      </c>
      <c r="E37" s="5" t="inlineStr">
        <is>
          <t>ES-CT</t>
        </is>
      </c>
      <c r="F37" s="5" t="inlineStr">
        <is>
          <t>Cataluña</t>
        </is>
      </c>
      <c r="G37" s="5" t="inlineStr">
        <is>
          <t>Barcelona</t>
        </is>
      </c>
      <c r="H37" s="5" t="inlineStr">
        <is>
          <t>Barcelona</t>
        </is>
      </c>
      <c r="I37" s="5" t="inlineStr">
        <is>
          <t>Barceloneta</t>
        </is>
      </c>
      <c r="J37" s="5" t="n"/>
      <c r="K37" s="5" t="n"/>
      <c r="L37" s="5" t="n">
        <v>41.38258</v>
      </c>
      <c r="M37" s="5" t="n">
        <v>2.177073</v>
      </c>
      <c r="N37" s="5" t="inlineStr">
        <is>
          <t>restaurant</t>
        </is>
      </c>
      <c r="O37" s="5" t="inlineStr">
        <is>
          <t>espanola, valenciana, arroces</t>
        </is>
      </c>
      <c r="P37" s="5" t="inlineStr">
        <is>
          <t>€€€</t>
        </is>
      </c>
      <c r="Q37" s="5" t="inlineStr">
        <is>
          <t>lunch, dinner</t>
        </is>
      </c>
      <c r="R37" s="6" t="inlineStr">
        <is>
          <t>pending_verification</t>
        </is>
      </c>
      <c r="S37" s="5" t="n"/>
      <c r="T37" s="5" t="n"/>
      <c r="U37" s="5" t="n"/>
      <c r="V37" s="5" t="inlineStr">
        <is>
          <t>Eigene Webseite: 'arroces, todos 100% sin gluten'. UNKLAR ob ganzes Lokal 100% GF — möglicherweise Mischbetrieb. Klärungsbedarf!</t>
        </is>
      </c>
      <c r="W37" s="5" t="n"/>
      <c r="X37" s="5" t="b">
        <v>0</v>
      </c>
      <c r="Y37" s="5" t="b">
        <v>0</v>
      </c>
      <c r="Z37" s="5" t="n"/>
      <c r="AA37" s="5" t="n"/>
      <c r="AB37" s="5" t="n"/>
      <c r="AC37" s="5" t="n"/>
      <c r="AD37" s="5" t="inlineStr">
        <is>
          <t>https://mana75.es</t>
        </is>
      </c>
      <c r="AE37" s="5" t="n"/>
      <c r="AF37" s="5" t="n"/>
      <c r="AG37" s="5" t="n"/>
      <c r="AH37" s="5" t="n"/>
      <c r="AI37" s="5" t="n"/>
      <c r="AJ37" s="5" t="n"/>
      <c r="AK37" s="5" t="n"/>
      <c r="AL37" s="5" t="n"/>
      <c r="AM37" s="5" t="inlineStr">
        <is>
          <t>official_website</t>
        </is>
      </c>
      <c r="AN37" s="5" t="inlineStr">
        <is>
          <t>mana75.es — Status 100% UNKLAR, dringend prüfen</t>
        </is>
      </c>
      <c r="AO37" s="5" t="inlineStr">
        <is>
          <t>2026-04-25</t>
        </is>
      </c>
      <c r="AP37" s="5" t="inlineStr">
        <is>
          <t>2026-04-25</t>
        </is>
      </c>
    </row>
    <row r="38" ht="80.09999999999999" customHeight="1">
      <c r="A38" s="5" t="inlineStr">
        <is>
          <t>es_ct_015</t>
        </is>
      </c>
      <c r="B38" s="5" t="inlineStr">
        <is>
          <t>El Tianguis</t>
        </is>
      </c>
      <c r="C38" s="5" t="inlineStr">
        <is>
          <t>el-tianguis-barcelona</t>
        </is>
      </c>
      <c r="D38" s="5" t="inlineStr">
        <is>
          <t>ES</t>
        </is>
      </c>
      <c r="E38" s="5" t="inlineStr">
        <is>
          <t>ES-CT</t>
        </is>
      </c>
      <c r="F38" s="5" t="inlineStr">
        <is>
          <t>Cataluña</t>
        </is>
      </c>
      <c r="G38" s="5" t="inlineStr">
        <is>
          <t>Barcelona</t>
        </is>
      </c>
      <c r="H38" s="5" t="inlineStr">
        <is>
          <t>Barcelona</t>
        </is>
      </c>
      <c r="I38" s="5" t="n"/>
      <c r="J38" s="5" t="n"/>
      <c r="K38" s="5" t="n"/>
      <c r="L38" s="5" t="n">
        <v>41.38258</v>
      </c>
      <c r="M38" s="5" t="n">
        <v>2.177073</v>
      </c>
      <c r="N38" s="5" t="inlineStr">
        <is>
          <t>restaurant</t>
        </is>
      </c>
      <c r="O38" s="5" t="inlineStr">
        <is>
          <t>mexicana</t>
        </is>
      </c>
      <c r="P38" s="5" t="inlineStr">
        <is>
          <t>€€</t>
        </is>
      </c>
      <c r="Q38" s="5" t="inlineStr">
        <is>
          <t>lunch, dinner</t>
        </is>
      </c>
      <c r="R38" s="6" t="inlineStr">
        <is>
          <t>pending_verification</t>
        </is>
      </c>
      <c r="S38" s="5" t="n"/>
      <c r="T38" s="5" t="n"/>
      <c r="U38" s="5" t="n"/>
      <c r="V38" s="5" t="inlineStr">
        <is>
          <t>Maná 75 Blog: 'menú completamente apto para celíacos, utilizando maíz 100% sin gluten en todas sus tortillas y evitando cualquier riesgo de contaminación cruzada'. PRÜFEN: Adresse, ist es wirklich 100% GF.</t>
        </is>
      </c>
      <c r="W38" s="5" t="n"/>
      <c r="X38" s="5" t="b">
        <v>0</v>
      </c>
      <c r="Y38" s="5" t="b">
        <v>0</v>
      </c>
      <c r="Z38" s="5" t="n"/>
      <c r="AA38" s="5" t="n"/>
      <c r="AB38" s="5" t="n"/>
      <c r="AC38" s="5" t="n"/>
      <c r="AD38" s="5" t="n"/>
      <c r="AE38" s="5" t="n"/>
      <c r="AF38" s="5" t="n"/>
      <c r="AG38" s="5" t="n"/>
      <c r="AH38" s="5" t="n"/>
      <c r="AI38" s="5" t="n"/>
      <c r="AJ38" s="5" t="n"/>
      <c r="AK38" s="5" t="n"/>
      <c r="AL38" s="5" t="n"/>
      <c r="AM38" s="5" t="inlineStr">
        <is>
          <t>blog_research</t>
        </is>
      </c>
      <c r="AN38" s="5" t="inlineStr">
        <is>
          <t>mana75.es (Stand 05/2025)</t>
        </is>
      </c>
      <c r="AO38" s="5" t="inlineStr">
        <is>
          <t>2026-04-25</t>
        </is>
      </c>
      <c r="AP38" s="5" t="inlineStr">
        <is>
          <t>2026-04-25</t>
        </is>
      </c>
    </row>
    <row r="39" ht="80.09999999999999" customHeight="1">
      <c r="A39" s="5" t="inlineStr">
        <is>
          <t>es_ct_016</t>
        </is>
      </c>
      <c r="B39" s="5" t="inlineStr">
        <is>
          <t>Gocce di Latte Vegan (Heladería)</t>
        </is>
      </c>
      <c r="C39" s="5" t="inlineStr">
        <is>
          <t>gocce-di-latte-vegan-barcelona</t>
        </is>
      </c>
      <c r="D39" s="5" t="inlineStr">
        <is>
          <t>ES</t>
        </is>
      </c>
      <c r="E39" s="5" t="inlineStr">
        <is>
          <t>ES-CT</t>
        </is>
      </c>
      <c r="F39" s="5" t="inlineStr">
        <is>
          <t>Cataluña</t>
        </is>
      </c>
      <c r="G39" s="5" t="inlineStr">
        <is>
          <t>Barcelona</t>
        </is>
      </c>
      <c r="H39" s="5" t="inlineStr">
        <is>
          <t>Barcelona</t>
        </is>
      </c>
      <c r="I39" s="5" t="inlineStr">
        <is>
          <t>Born</t>
        </is>
      </c>
      <c r="J39" s="5" t="inlineStr">
        <is>
          <t>08003</t>
        </is>
      </c>
      <c r="K39" s="5" t="inlineStr">
        <is>
          <t>Carrer de l'Espaseria, 14</t>
        </is>
      </c>
      <c r="L39" s="5" t="n">
        <v>41.38258</v>
      </c>
      <c r="M39" s="5" t="n">
        <v>2.177073</v>
      </c>
      <c r="N39" s="5" t="inlineStr">
        <is>
          <t>ice_cream</t>
        </is>
      </c>
      <c r="O39" s="5" t="inlineStr">
        <is>
          <t>vegana</t>
        </is>
      </c>
      <c r="P39" s="5" t="inlineStr">
        <is>
          <t>€</t>
        </is>
      </c>
      <c r="Q39" s="5" t="inlineStr">
        <is>
          <t>snacks</t>
        </is>
      </c>
      <c r="R39" s="6" t="inlineStr">
        <is>
          <t>pending_verification</t>
        </is>
      </c>
      <c r="S39" s="5" t="n"/>
      <c r="T39" s="5" t="n"/>
      <c r="U39" s="5" t="n"/>
      <c r="V39" s="5" t="inlineStr">
        <is>
          <t>Happy Celiac: 'es 100% libre de gluten' — ACHTUNG: in derselben Straße gibt es das normale Gocce di Latte mit Gluten! Nur das VEGAN-Lokal ist 100% GF.</t>
        </is>
      </c>
      <c r="W39" s="5" t="n"/>
      <c r="X39" s="5" t="b">
        <v>0</v>
      </c>
      <c r="Y39" s="5" t="b">
        <v>0</v>
      </c>
      <c r="Z39" s="5" t="n"/>
      <c r="AA39" s="5" t="n"/>
      <c r="AB39" s="5" t="n"/>
      <c r="AC39" s="5" t="n"/>
      <c r="AD39" s="5" t="n"/>
      <c r="AE39" s="5" t="n"/>
      <c r="AF39" s="5" t="n"/>
      <c r="AG39" s="5" t="n"/>
      <c r="AH39" s="5" t="n"/>
      <c r="AI39" s="5" t="inlineStr">
        <is>
          <t>Heladería 100% sin gluten y vegana en el Born.</t>
        </is>
      </c>
      <c r="AJ39" s="5" t="inlineStr">
        <is>
          <t>100% gluten-free and vegan ice cream shop in Born.</t>
        </is>
      </c>
      <c r="AK39" s="5" t="inlineStr">
        <is>
          <t>100% glutenfreie und vegane Eisdiele im Born.</t>
        </is>
      </c>
      <c r="AL39" s="5" t="n"/>
      <c r="AM39" s="5" t="inlineStr">
        <is>
          <t>blog_research</t>
        </is>
      </c>
      <c r="AN39" s="5" t="inlineStr">
        <is>
          <t>happyceliac.com (Stand 2023). NICHT verwechseln mit Gocce di Latte (mit Gluten).</t>
        </is>
      </c>
      <c r="AO39" s="5" t="inlineStr">
        <is>
          <t>2026-04-25</t>
        </is>
      </c>
      <c r="AP39" s="5" t="inlineStr">
        <is>
          <t>2026-04-25</t>
        </is>
      </c>
    </row>
    <row r="40" ht="80.09999999999999" customHeight="1">
      <c r="A40" s="5" t="inlineStr">
        <is>
          <t>es_ct_017</t>
        </is>
      </c>
      <c r="B40" s="5" t="inlineStr">
        <is>
          <t>Cal Marius 449</t>
        </is>
      </c>
      <c r="C40" s="5" t="inlineStr">
        <is>
          <t>cal-marius-449-barcelona</t>
        </is>
      </c>
      <c r="D40" s="5" t="inlineStr">
        <is>
          <t>ES</t>
        </is>
      </c>
      <c r="E40" s="5" t="inlineStr">
        <is>
          <t>ES-CT</t>
        </is>
      </c>
      <c r="F40" s="5" t="inlineStr">
        <is>
          <t>Cataluña</t>
        </is>
      </c>
      <c r="G40" s="5" t="inlineStr">
        <is>
          <t>Barcelona</t>
        </is>
      </c>
      <c r="H40" s="5" t="inlineStr">
        <is>
          <t>Barcelona</t>
        </is>
      </c>
      <c r="I40" s="5" t="inlineStr">
        <is>
          <t>Sagrada Familia</t>
        </is>
      </c>
      <c r="J40" s="5" t="n"/>
      <c r="K40" s="5" t="inlineStr">
        <is>
          <t>Carrer Mallorca</t>
        </is>
      </c>
      <c r="L40" s="5" t="n">
        <v>41.493623</v>
      </c>
      <c r="M40" s="5" t="n">
        <v>2.186322</v>
      </c>
      <c r="N40" s="5" t="inlineStr">
        <is>
          <t>bar_tapas</t>
        </is>
      </c>
      <c r="O40" s="5" t="inlineStr">
        <is>
          <t>tapas, espanola</t>
        </is>
      </c>
      <c r="P40" s="5" t="inlineStr">
        <is>
          <t>€€</t>
        </is>
      </c>
      <c r="Q40" s="5" t="inlineStr">
        <is>
          <t>lunch, dinner, snacks</t>
        </is>
      </c>
      <c r="R40" s="6" t="inlineStr">
        <is>
          <t>pending_verification</t>
        </is>
      </c>
      <c r="S40" s="5" t="n"/>
      <c r="T40" s="5" t="n"/>
      <c r="U40" s="5" t="n"/>
      <c r="V40" s="5" t="inlineStr">
        <is>
          <t>WICHTIG: ViajarSinGluten beschreibt: 'El 99% de la carta es Sin Gluten'. NICHT 100%! Möglicherweise nicht für die App geeignet — Klärungsbedarf, ob mittlerweile 100% oder ausschließen.</t>
        </is>
      </c>
      <c r="W40" s="5" t="n"/>
      <c r="X40" s="5" t="b">
        <v>1</v>
      </c>
      <c r="Y40" s="5" t="b">
        <v>0</v>
      </c>
      <c r="Z40" s="5" t="inlineStr">
        <is>
          <t>FACE, Celiacs Catalunya</t>
        </is>
      </c>
      <c r="AA40" s="5" t="n"/>
      <c r="AB40" s="5" t="n"/>
      <c r="AC40" s="5" t="n"/>
      <c r="AD40" s="5" t="n"/>
      <c r="AE40" s="5" t="n"/>
      <c r="AF40" s="5" t="n"/>
      <c r="AG40" s="5" t="n"/>
      <c r="AH40" s="5" t="n"/>
      <c r="AI40" s="5" t="n"/>
      <c r="AJ40" s="5" t="n"/>
      <c r="AK40" s="5" t="n"/>
      <c r="AL40" s="5" t="n"/>
      <c r="AM40" s="5" t="inlineStr">
        <is>
          <t>blog_research</t>
        </is>
      </c>
      <c r="AN40" s="5" t="inlineStr">
        <is>
          <t>viajarsingluten.com — '99% Sin Gluten', NICHT 100%! Eventuell ablehnen.</t>
        </is>
      </c>
      <c r="AO40" s="5" t="inlineStr">
        <is>
          <t>2026-04-25</t>
        </is>
      </c>
      <c r="AP40" s="5" t="inlineStr">
        <is>
          <t>2026-04-25</t>
        </is>
      </c>
    </row>
    <row r="41" ht="80.09999999999999" customHeight="1">
      <c r="A41" s="5" t="inlineStr">
        <is>
          <t>es_vc_001</t>
        </is>
      </c>
      <c r="B41" s="5" t="inlineStr">
        <is>
          <t>El Miracle</t>
        </is>
      </c>
      <c r="C41" s="5" t="inlineStr">
        <is>
          <t>el-miracle-valencia</t>
        </is>
      </c>
      <c r="D41" s="5" t="inlineStr">
        <is>
          <t>ES</t>
        </is>
      </c>
      <c r="E41" s="5" t="inlineStr">
        <is>
          <t>ES-VC</t>
        </is>
      </c>
      <c r="F41" s="5" t="inlineStr">
        <is>
          <t>Comunidad Valenciana</t>
        </is>
      </c>
      <c r="G41" s="5" t="inlineStr">
        <is>
          <t>Valencia</t>
        </is>
      </c>
      <c r="H41" s="5" t="inlineStr">
        <is>
          <t>Valencia</t>
        </is>
      </c>
      <c r="I41" s="5" t="inlineStr">
        <is>
          <t>Ciutat Jardín</t>
        </is>
      </c>
      <c r="J41" s="5" t="inlineStr">
        <is>
          <t>46022</t>
        </is>
      </c>
      <c r="K41" s="5" t="inlineStr">
        <is>
          <t>Carrer de Campoamor, 42</t>
        </is>
      </c>
      <c r="L41" s="5" t="n">
        <v>39.468813</v>
      </c>
      <c r="M41" s="5" t="n">
        <v>-0.340323</v>
      </c>
      <c r="N41" s="5" t="inlineStr">
        <is>
          <t>restaurant</t>
        </is>
      </c>
      <c r="O41" s="5" t="inlineStr">
        <is>
          <t>internacional, mediterranea, hamburguesas</t>
        </is>
      </c>
      <c r="P41" s="5" t="inlineStr">
        <is>
          <t>€€</t>
        </is>
      </c>
      <c r="Q41" s="5" t="inlineStr">
        <is>
          <t>lunch, dinner</t>
        </is>
      </c>
      <c r="R41" s="6" t="inlineStr">
        <is>
          <t>pending_verification</t>
        </is>
      </c>
      <c r="S41" s="5" t="n"/>
      <c r="T41" s="5" t="n"/>
      <c r="U41" s="5" t="n"/>
      <c r="V41" s="5" t="inlineStr">
        <is>
          <t>FLAGGSCHIFF! Erstes ACECOVA-zertifiziertes 100% GF-Restaurant der Comunitat Valenciana. Inhaber Hiba Malek + Nazir Hanna (syrische Herkunft, seit ~2017). Top 3 Spaniens lt. Celicidad-App. Eigene Reservierungs-Webseite. Mediterrane + nahöstliche Fusion (falafel, halloumi, tahina). PRÜFEN: aktueller Status, eigener Besuch.</t>
        </is>
      </c>
      <c r="W41" s="5" t="n"/>
      <c r="X41" s="5" t="b">
        <v>1</v>
      </c>
      <c r="Y41" s="5" t="b">
        <v>0</v>
      </c>
      <c r="Z41" s="5" t="inlineStr">
        <is>
          <t>FACE, ACECOVA</t>
        </is>
      </c>
      <c r="AA41" s="5" t="n"/>
      <c r="AB41" s="5" t="n"/>
      <c r="AC41" s="5" t="n"/>
      <c r="AD41" s="5" t="inlineStr">
        <is>
          <t>https://miraclerestaurante.es</t>
        </is>
      </c>
      <c r="AE41" s="5" t="n"/>
      <c r="AF41" s="5" t="n"/>
      <c r="AG41" s="5" t="n"/>
      <c r="AH41" s="5" t="n"/>
      <c r="AI41" s="5" t="inlineStr">
        <is>
          <t>Primer restaurante 100% sin gluten certificado por ACECOVA en la Comunitat Valenciana.</t>
        </is>
      </c>
      <c r="AJ41" s="5" t="inlineStr">
        <is>
          <t>First 100% gluten-free restaurant in Comunitat Valenciana certified by ACECOVA.</t>
        </is>
      </c>
      <c r="AK41" s="5" t="inlineStr">
        <is>
          <t>Erstes von ACECOVA zertifiziertes 100% glutenfreies Restaurant in der Comunitat Valenciana.</t>
        </is>
      </c>
      <c r="AL41" s="5" t="n"/>
      <c r="AM41" s="5" t="inlineStr">
        <is>
          <t>regional_association</t>
        </is>
      </c>
      <c r="AN41" s="5" t="inlineStr">
        <is>
          <t>celiacos.org/el-miracle-restaurant + valenciaextra.com (Stand 2024-2026)</t>
        </is>
      </c>
      <c r="AO41" s="5" t="inlineStr">
        <is>
          <t>2026-04-25</t>
        </is>
      </c>
      <c r="AP41" s="5" t="inlineStr">
        <is>
          <t>2026-04-25</t>
        </is>
      </c>
    </row>
    <row r="42" ht="80.09999999999999" customHeight="1">
      <c r="A42" s="5" t="inlineStr">
        <is>
          <t>es_vc_002</t>
        </is>
      </c>
      <c r="B42" s="5" t="inlineStr">
        <is>
          <t>Naked &amp; Sated Valencia</t>
        </is>
      </c>
      <c r="C42" s="5" t="inlineStr">
        <is>
          <t>naked-sated-valencia</t>
        </is>
      </c>
      <c r="D42" s="5" t="inlineStr">
        <is>
          <t>ES</t>
        </is>
      </c>
      <c r="E42" s="5" t="inlineStr">
        <is>
          <t>ES-VC</t>
        </is>
      </c>
      <c r="F42" s="5" t="inlineStr">
        <is>
          <t>Comunidad Valenciana</t>
        </is>
      </c>
      <c r="G42" s="5" t="inlineStr">
        <is>
          <t>Valencia</t>
        </is>
      </c>
      <c r="H42" s="5" t="inlineStr">
        <is>
          <t>Valencia</t>
        </is>
      </c>
      <c r="I42" s="5" t="n"/>
      <c r="J42" s="5" t="n"/>
      <c r="K42" s="5" t="n"/>
      <c r="L42" s="5" t="n">
        <v>39.465765</v>
      </c>
      <c r="M42" s="5" t="n">
        <v>-0.381783</v>
      </c>
      <c r="N42" s="5" t="inlineStr">
        <is>
          <t>restaurant</t>
        </is>
      </c>
      <c r="O42" s="5" t="inlineStr">
        <is>
          <t>saludable, internacional, hamburguesas, pizzas</t>
        </is>
      </c>
      <c r="P42" s="5" t="inlineStr">
        <is>
          <t>€€</t>
        </is>
      </c>
      <c r="Q42" s="5" t="inlineStr">
        <is>
          <t>brunch, lunch, dinner</t>
        </is>
      </c>
      <c r="R42" s="6" t="inlineStr">
        <is>
          <t>pending_verification</t>
        </is>
      </c>
      <c r="S42" s="5" t="n"/>
      <c r="T42" s="5" t="n"/>
      <c r="U42" s="5" t="n"/>
      <c r="V42" s="5" t="inlineStr">
        <is>
          <t>Disfrutando sin Gluten: 'cadena de restaurantes 100% sin gluten también tiene local en Valencia'. Auch in Madrid. PRÜFEN: Adresse Valencia.</t>
        </is>
      </c>
      <c r="W42" s="5" t="n"/>
      <c r="X42" s="5" t="b">
        <v>0</v>
      </c>
      <c r="Y42" s="5" t="b">
        <v>0</v>
      </c>
      <c r="Z42" s="5" t="inlineStr">
        <is>
          <t>ACECOVA</t>
        </is>
      </c>
      <c r="AA42" s="5" t="n"/>
      <c r="AB42" s="5" t="n"/>
      <c r="AC42" s="5" t="n"/>
      <c r="AD42" s="5" t="n"/>
      <c r="AE42" s="5" t="n"/>
      <c r="AF42" s="5" t="n"/>
      <c r="AG42" s="5" t="n"/>
      <c r="AH42" s="5" t="n"/>
      <c r="AI42" s="5" t="inlineStr">
        <is>
          <t>Restaurante 100% sin gluten, sin azúcares añadidos, con pizzas, hamburguesas y galettes.</t>
        </is>
      </c>
      <c r="AJ42" s="5" t="inlineStr">
        <is>
          <t>100% gluten-free restaurant, no added sugars, with pizzas, burgers and galettes.</t>
        </is>
      </c>
      <c r="AK42" s="5" t="inlineStr">
        <is>
          <t>100% glutenfreies Restaurant ohne Zuckerzusatz, mit Pizza, Burgern und Galettes.</t>
        </is>
      </c>
      <c r="AL42" s="5" t="n"/>
      <c r="AM42" s="5" t="inlineStr">
        <is>
          <t>blog_research</t>
        </is>
      </c>
      <c r="AN42" s="5" t="inlineStr">
        <is>
          <t>disfrutandosingluten.es (Stand 04/2024)</t>
        </is>
      </c>
      <c r="AO42" s="5" t="inlineStr">
        <is>
          <t>2026-04-25</t>
        </is>
      </c>
      <c r="AP42" s="5" t="inlineStr">
        <is>
          <t>2026-04-25</t>
        </is>
      </c>
    </row>
    <row r="43" ht="80.09999999999999" customHeight="1">
      <c r="A43" s="5" t="inlineStr">
        <is>
          <t>es_vc_003</t>
        </is>
      </c>
      <c r="B43" s="5" t="inlineStr">
        <is>
          <t>Berguna</t>
        </is>
      </c>
      <c r="C43" s="5" t="inlineStr">
        <is>
          <t>berguna-valencia</t>
        </is>
      </c>
      <c r="D43" s="5" t="inlineStr">
        <is>
          <t>ES</t>
        </is>
      </c>
      <c r="E43" s="5" t="inlineStr">
        <is>
          <t>ES-VC</t>
        </is>
      </c>
      <c r="F43" s="5" t="inlineStr">
        <is>
          <t>Comunidad Valenciana</t>
        </is>
      </c>
      <c r="G43" s="5" t="inlineStr">
        <is>
          <t>Valencia</t>
        </is>
      </c>
      <c r="H43" s="5" t="inlineStr">
        <is>
          <t>Valencia</t>
        </is>
      </c>
      <c r="I43" s="5" t="inlineStr">
        <is>
          <t>Centro</t>
        </is>
      </c>
      <c r="J43" s="5" t="inlineStr">
        <is>
          <t>46002</t>
        </is>
      </c>
      <c r="K43" s="5" t="inlineStr">
        <is>
          <t>Calle Moratín, 13</t>
        </is>
      </c>
      <c r="L43" s="5" t="n">
        <v>39.47104</v>
      </c>
      <c r="M43" s="5" t="n">
        <v>-0.375793</v>
      </c>
      <c r="N43" s="5" t="inlineStr">
        <is>
          <t>cafe</t>
        </is>
      </c>
      <c r="O43" s="5" t="inlineStr">
        <is>
          <t>saludable, vegana</t>
        </is>
      </c>
      <c r="P43" s="5" t="inlineStr">
        <is>
          <t>€€</t>
        </is>
      </c>
      <c r="Q43" s="5" t="inlineStr">
        <is>
          <t>breakfast, brunch, lunch</t>
        </is>
      </c>
      <c r="R43" s="6" t="inlineStr">
        <is>
          <t>pending_verification</t>
        </is>
      </c>
      <c r="S43" s="5" t="n"/>
      <c r="T43" s="5" t="n"/>
      <c r="U43" s="5" t="n"/>
      <c r="V43" s="5" t="inlineStr">
        <is>
          <t>Disfrutando sin Gluten: 'restaurante / café 100% sin gluten... cocina sin gluten, sin azúcar y con casi todos sus platos veganos'. PRÜFEN.</t>
        </is>
      </c>
      <c r="W43" s="5" t="n"/>
      <c r="X43" s="5" t="b">
        <v>0</v>
      </c>
      <c r="Y43" s="5" t="b">
        <v>0</v>
      </c>
      <c r="Z43" s="5" t="inlineStr">
        <is>
          <t>ACECOVA</t>
        </is>
      </c>
      <c r="AA43" s="5" t="n"/>
      <c r="AB43" s="5" t="n"/>
      <c r="AC43" s="5" t="n"/>
      <c r="AD43" s="5" t="n"/>
      <c r="AE43" s="5" t="n"/>
      <c r="AF43" s="5" t="n"/>
      <c r="AG43" s="5" t="n"/>
      <c r="AH43" s="5" t="n"/>
      <c r="AI43" s="5" t="inlineStr">
        <is>
          <t>Café/restaurante 100% sin gluten y casi todo vegano cerca de la Ciudad de las Artes.</t>
        </is>
      </c>
      <c r="AJ43" s="5" t="inlineStr">
        <is>
          <t>100% gluten-free café/restaurant, mostly vegan, near Ciudad de las Artes.</t>
        </is>
      </c>
      <c r="AK43" s="5" t="inlineStr">
        <is>
          <t>100% glutenfreies Café/Restaurant, fast komplett vegan, nahe Ciudad de las Artes.</t>
        </is>
      </c>
      <c r="AL43" s="5" t="n"/>
      <c r="AM43" s="5" t="inlineStr">
        <is>
          <t>blog_research</t>
        </is>
      </c>
      <c r="AN43" s="5" t="inlineStr">
        <is>
          <t>disfrutandosingluten.es + celiaquita.com</t>
        </is>
      </c>
      <c r="AO43" s="5" t="inlineStr">
        <is>
          <t>2026-04-25</t>
        </is>
      </c>
      <c r="AP43" s="5" t="inlineStr">
        <is>
          <t>2026-04-25</t>
        </is>
      </c>
    </row>
    <row r="44" ht="80.09999999999999" customHeight="1">
      <c r="A44" s="5" t="inlineStr">
        <is>
          <t>es_vc_004</t>
        </is>
      </c>
      <c r="B44" s="5" t="inlineStr">
        <is>
          <t>Sana Locura Valencia</t>
        </is>
      </c>
      <c r="C44" s="5" t="inlineStr">
        <is>
          <t>sana-locura-valencia</t>
        </is>
      </c>
      <c r="D44" s="5" t="inlineStr">
        <is>
          <t>ES</t>
        </is>
      </c>
      <c r="E44" s="5" t="inlineStr">
        <is>
          <t>ES-VC</t>
        </is>
      </c>
      <c r="F44" s="5" t="inlineStr">
        <is>
          <t>Comunidad Valenciana</t>
        </is>
      </c>
      <c r="G44" s="5" t="inlineStr">
        <is>
          <t>Valencia</t>
        </is>
      </c>
      <c r="H44" s="5" t="inlineStr">
        <is>
          <t>Valencia</t>
        </is>
      </c>
      <c r="I44" s="5" t="inlineStr">
        <is>
          <t>Centro</t>
        </is>
      </c>
      <c r="J44" s="5" t="inlineStr">
        <is>
          <t>46002</t>
        </is>
      </c>
      <c r="K44" s="5" t="inlineStr">
        <is>
          <t>Convento Santa Clara, 12</t>
        </is>
      </c>
      <c r="L44" s="5" t="n">
        <v>39.468352</v>
      </c>
      <c r="M44" s="5" t="n">
        <v>-0.376502</v>
      </c>
      <c r="N44" s="5" t="inlineStr">
        <is>
          <t>cafe</t>
        </is>
      </c>
      <c r="O44" s="5" t="inlineStr">
        <is>
          <t>saludable</t>
        </is>
      </c>
      <c r="P44" s="5" t="inlineStr">
        <is>
          <t>€€</t>
        </is>
      </c>
      <c r="Q44" s="5" t="inlineStr">
        <is>
          <t>breakfast, brunch, snacks</t>
        </is>
      </c>
      <c r="R44" s="6" t="inlineStr">
        <is>
          <t>pending_verification</t>
        </is>
      </c>
      <c r="S44" s="5" t="n"/>
      <c r="T44" s="5" t="n"/>
      <c r="U44" s="5" t="n"/>
      <c r="V44" s="5" t="inlineStr">
        <is>
          <t>Celiaquita-Quelle nennt als '100% sin gluten' nahe Plaza Ayuntamiento. PRÜFEN.</t>
        </is>
      </c>
      <c r="W44" s="5" t="n"/>
      <c r="X44" s="5" t="b">
        <v>0</v>
      </c>
      <c r="Y44" s="5" t="b">
        <v>0</v>
      </c>
      <c r="Z44" s="5" t="inlineStr">
        <is>
          <t>ACECOVA</t>
        </is>
      </c>
      <c r="AA44" s="5" t="n"/>
      <c r="AB44" s="5" t="n"/>
      <c r="AC44" s="5" t="n"/>
      <c r="AD44" s="5" t="n"/>
      <c r="AE44" s="5" t="n"/>
      <c r="AF44" s="5" t="n"/>
      <c r="AG44" s="5" t="n"/>
      <c r="AH44" s="5" t="n"/>
      <c r="AI44" s="5" t="inlineStr">
        <is>
          <t>Cafetería 100% sin gluten en el centro de Valencia.</t>
        </is>
      </c>
      <c r="AJ44" s="5" t="inlineStr">
        <is>
          <t>100% gluten-free café in central Valencia.</t>
        </is>
      </c>
      <c r="AK44" s="5" t="inlineStr">
        <is>
          <t>100% glutenfreies Café im Zentrum von Valencia.</t>
        </is>
      </c>
      <c r="AL44" s="5" t="n"/>
      <c r="AM44" s="5" t="inlineStr">
        <is>
          <t>blog_research</t>
        </is>
      </c>
      <c r="AN44" s="5" t="inlineStr">
        <is>
          <t>celiaquita.com (Stand 01/2026)</t>
        </is>
      </c>
      <c r="AO44" s="5" t="inlineStr">
        <is>
          <t>2026-04-25</t>
        </is>
      </c>
      <c r="AP44" s="5" t="inlineStr">
        <is>
          <t>2026-04-25</t>
        </is>
      </c>
    </row>
    <row r="45" ht="80.09999999999999" customHeight="1">
      <c r="A45" s="5" t="inlineStr">
        <is>
          <t>es_vc_005</t>
        </is>
      </c>
      <c r="B45" s="5" t="inlineStr">
        <is>
          <t>Gato Blanco</t>
        </is>
      </c>
      <c r="C45" s="5" t="inlineStr">
        <is>
          <t>gato-blanco-valencia</t>
        </is>
      </c>
      <c r="D45" s="5" t="inlineStr">
        <is>
          <t>ES</t>
        </is>
      </c>
      <c r="E45" s="5" t="inlineStr">
        <is>
          <t>ES-VC</t>
        </is>
      </c>
      <c r="F45" s="5" t="inlineStr">
        <is>
          <t>Comunidad Valenciana</t>
        </is>
      </c>
      <c r="G45" s="5" t="inlineStr">
        <is>
          <t>Valencia</t>
        </is>
      </c>
      <c r="H45" s="5" t="inlineStr">
        <is>
          <t>Valencia</t>
        </is>
      </c>
      <c r="I45" s="5" t="inlineStr">
        <is>
          <t>La Zaidía</t>
        </is>
      </c>
      <c r="J45" s="5" t="inlineStr">
        <is>
          <t>46009</t>
        </is>
      </c>
      <c r="K45" s="5" t="inlineStr">
        <is>
          <t>C. de Lérida, 14, Bajo derecha</t>
        </is>
      </c>
      <c r="L45" s="5" t="n">
        <v>39.465765</v>
      </c>
      <c r="M45" s="5" t="n">
        <v>-0.381783</v>
      </c>
      <c r="N45" s="5" t="inlineStr">
        <is>
          <t>restaurant</t>
        </is>
      </c>
      <c r="O45" s="5" t="inlineStr">
        <is>
          <t>internacional, saludable</t>
        </is>
      </c>
      <c r="P45" s="5" t="inlineStr">
        <is>
          <t>€€</t>
        </is>
      </c>
      <c r="Q45" s="5" t="inlineStr">
        <is>
          <t>lunch, dinner</t>
        </is>
      </c>
      <c r="R45" s="6" t="inlineStr">
        <is>
          <t>pending_verification</t>
        </is>
      </c>
      <c r="S45" s="5" t="n"/>
      <c r="T45" s="5" t="n"/>
      <c r="U45" s="5" t="n"/>
      <c r="V45" s="5" t="inlineStr">
        <is>
          <t>Celicidad: 'restaurante familiar... certificado por FACE'. UNKLAR ob 100% GF — möglicherweise allergen-freundliches Lokal. Klärungsbedarf!</t>
        </is>
      </c>
      <c r="W45" s="5" t="n"/>
      <c r="X45" s="5" t="b">
        <v>1</v>
      </c>
      <c r="Y45" s="5" t="b">
        <v>0</v>
      </c>
      <c r="Z45" s="5" t="inlineStr">
        <is>
          <t>FACE, ACECOVA</t>
        </is>
      </c>
      <c r="AA45" s="5" t="n"/>
      <c r="AB45" s="5" t="n"/>
      <c r="AC45" s="5" t="n"/>
      <c r="AD45" s="5" t="n"/>
      <c r="AE45" s="5" t="n"/>
      <c r="AF45" s="5" t="n"/>
      <c r="AG45" s="5" t="n"/>
      <c r="AH45" s="5" t="n"/>
      <c r="AI45" s="5" t="n"/>
      <c r="AJ45" s="5" t="n"/>
      <c r="AK45" s="5" t="n"/>
      <c r="AL45" s="5" t="n"/>
      <c r="AM45" s="5" t="inlineStr">
        <is>
          <t>blog_research</t>
        </is>
      </c>
      <c r="AN45" s="5" t="inlineStr">
        <is>
          <t>restaurantes.celicidad.net — Status 100% UNKLAR</t>
        </is>
      </c>
      <c r="AO45" s="5" t="inlineStr">
        <is>
          <t>2026-04-25</t>
        </is>
      </c>
      <c r="AP45" s="5" t="inlineStr">
        <is>
          <t>2026-04-25</t>
        </is>
      </c>
    </row>
    <row r="46" ht="80.09999999999999" customHeight="1">
      <c r="A46" s="5" t="inlineStr">
        <is>
          <t>es_vc_006</t>
        </is>
      </c>
      <c r="B46" s="5" t="inlineStr">
        <is>
          <t>El Rebost d'Alboraia</t>
        </is>
      </c>
      <c r="C46" s="5" t="inlineStr">
        <is>
          <t>el-rebost-alboraia</t>
        </is>
      </c>
      <c r="D46" s="5" t="inlineStr">
        <is>
          <t>ES</t>
        </is>
      </c>
      <c r="E46" s="5" t="inlineStr">
        <is>
          <t>ES-VC</t>
        </is>
      </c>
      <c r="F46" s="5" t="inlineStr">
        <is>
          <t>Comunidad Valenciana</t>
        </is>
      </c>
      <c r="G46" s="5" t="inlineStr">
        <is>
          <t>Valencia</t>
        </is>
      </c>
      <c r="H46" s="5" t="inlineStr">
        <is>
          <t>Alboraia</t>
        </is>
      </c>
      <c r="I46" s="5" t="n"/>
      <c r="J46" s="5" t="n"/>
      <c r="K46" s="5" t="n"/>
      <c r="L46" s="5" t="n">
        <v>39.501012</v>
      </c>
      <c r="M46" s="5" t="n">
        <v>-0.349958</v>
      </c>
      <c r="N46" s="5" t="inlineStr">
        <is>
          <t>catering</t>
        </is>
      </c>
      <c r="O46" s="5" t="inlineStr">
        <is>
          <t>espanola, saludable</t>
        </is>
      </c>
      <c r="P46" s="5" t="inlineStr">
        <is>
          <t>€€</t>
        </is>
      </c>
      <c r="Q46" s="5" t="inlineStr">
        <is>
          <t>lunch, dinner</t>
        </is>
      </c>
      <c r="R46" s="6" t="inlineStr">
        <is>
          <t>pending_verification</t>
        </is>
      </c>
      <c r="S46" s="5" t="n"/>
      <c r="T46" s="5" t="n"/>
      <c r="U46" s="5" t="n"/>
      <c r="V46" s="5" t="inlineStr">
        <is>
          <t>Celiaquita TOP-Empfehlung. Carnicería + Charcutería + Comida para llevar 100% GF, ACECOVA-zertifiziert. Eher Take-away, weniger klassisches Restaurant. PRÜFEN.</t>
        </is>
      </c>
      <c r="W46" s="5" t="n"/>
      <c r="X46" s="5" t="b">
        <v>0</v>
      </c>
      <c r="Y46" s="5" t="b">
        <v>0</v>
      </c>
      <c r="Z46" s="5" t="inlineStr">
        <is>
          <t>ACECOVA</t>
        </is>
      </c>
      <c r="AA46" s="5" t="n"/>
      <c r="AB46" s="5" t="n"/>
      <c r="AC46" s="5" t="n"/>
      <c r="AD46" s="5" t="n"/>
      <c r="AE46" s="5" t="inlineStr">
        <is>
          <t>@elrebostalboraia</t>
        </is>
      </c>
      <c r="AF46" s="5" t="n"/>
      <c r="AG46" s="5" t="n"/>
      <c r="AH46" s="5" t="n"/>
      <c r="AI46" s="5" t="inlineStr">
        <is>
          <t>Carnicería, charcutería y comida para llevar 100% sin gluten en Alboraia.</t>
        </is>
      </c>
      <c r="AJ46" s="5" t="inlineStr">
        <is>
          <t>100% gluten-free butcher, deli and takeaway in Alboraia.</t>
        </is>
      </c>
      <c r="AK46" s="5" t="inlineStr">
        <is>
          <t>100% glutenfreie Metzgerei und Take-Away in Alboraia.</t>
        </is>
      </c>
      <c r="AL46" s="5" t="n"/>
      <c r="AM46" s="5" t="inlineStr">
        <is>
          <t>regional_association</t>
        </is>
      </c>
      <c r="AN46" s="5" t="inlineStr">
        <is>
          <t>celiaquita.com (Stand 01/2026) — TOP-Empfehlung</t>
        </is>
      </c>
      <c r="AO46" s="5" t="inlineStr">
        <is>
          <t>2026-04-25</t>
        </is>
      </c>
      <c r="AP46" s="5" t="inlineStr">
        <is>
          <t>2026-04-25</t>
        </is>
      </c>
    </row>
    <row r="47" ht="80.09999999999999" customHeight="1">
      <c r="A47" s="5" t="inlineStr">
        <is>
          <t>es_an_001</t>
        </is>
      </c>
      <c r="B47" s="5" t="inlineStr">
        <is>
          <t>Postigo 10</t>
        </is>
      </c>
      <c r="C47" s="5" t="inlineStr">
        <is>
          <t>postigo-10-sevilla</t>
        </is>
      </c>
      <c r="D47" s="5" t="inlineStr">
        <is>
          <t>ES</t>
        </is>
      </c>
      <c r="E47" s="5" t="inlineStr">
        <is>
          <t>ES-AN</t>
        </is>
      </c>
      <c r="F47" s="5" t="inlineStr">
        <is>
          <t>Andalucía</t>
        </is>
      </c>
      <c r="G47" s="5" t="inlineStr">
        <is>
          <t>Sevilla</t>
        </is>
      </c>
      <c r="H47" s="5" t="inlineStr">
        <is>
          <t>Sevilla</t>
        </is>
      </c>
      <c r="I47" s="5" t="inlineStr">
        <is>
          <t>Casco Antiguo</t>
        </is>
      </c>
      <c r="J47" s="5" t="inlineStr">
        <is>
          <t>41001</t>
        </is>
      </c>
      <c r="K47" s="5" t="inlineStr">
        <is>
          <t>C. Almirantazgo, 10</t>
        </is>
      </c>
      <c r="L47" s="5" t="n">
        <v>37.385306</v>
      </c>
      <c r="M47" s="5" t="n">
        <v>-5.994635</v>
      </c>
      <c r="N47" s="5" t="inlineStr">
        <is>
          <t>restaurant</t>
        </is>
      </c>
      <c r="O47" s="5" t="inlineStr">
        <is>
          <t>andaluza, espanola</t>
        </is>
      </c>
      <c r="P47" s="5" t="inlineStr">
        <is>
          <t>€€</t>
        </is>
      </c>
      <c r="Q47" s="5" t="inlineStr">
        <is>
          <t>lunch, dinner</t>
        </is>
      </c>
      <c r="R47" s="6" t="inlineStr">
        <is>
          <t>pending_verification</t>
        </is>
      </c>
      <c r="S47" s="5" t="n"/>
      <c r="T47" s="5" t="n"/>
      <c r="U47" s="5" t="n"/>
      <c r="V47" s="5" t="inlineStr">
        <is>
          <t>Red Sevilla Sin Gluten: 'Restaurante · cocina tradicional sevillana · 100% sin gluten'. Im RSSG-Netzwerk. PRÜFEN.</t>
        </is>
      </c>
      <c r="W47" s="5" t="n"/>
      <c r="X47" s="5" t="b">
        <v>0</v>
      </c>
      <c r="Y47" s="5" t="b">
        <v>0</v>
      </c>
      <c r="Z47" s="5" t="inlineStr">
        <is>
          <t>Red Sevilla Sin Gluten</t>
        </is>
      </c>
      <c r="AA47" s="5" t="n"/>
      <c r="AB47" s="5" t="n"/>
      <c r="AC47" s="5" t="n"/>
      <c r="AD47" s="5" t="n"/>
      <c r="AE47" s="5" t="n"/>
      <c r="AF47" s="5" t="n"/>
      <c r="AG47" s="5" t="n"/>
      <c r="AH47" s="5" t="n"/>
      <c r="AI47" s="5" t="inlineStr">
        <is>
          <t>Restaurante de cocina tradicional sevillana 100% sin gluten.</t>
        </is>
      </c>
      <c r="AJ47" s="5" t="inlineStr">
        <is>
          <t>Traditional Sevillian cuisine, 100% gluten-free.</t>
        </is>
      </c>
      <c r="AK47" s="5" t="inlineStr">
        <is>
          <t>Traditionelle sevillanische Küche, 100% glutenfrei.</t>
        </is>
      </c>
      <c r="AL47" s="5" t="n"/>
      <c r="AM47" s="5" t="inlineStr">
        <is>
          <t>regional_association</t>
        </is>
      </c>
      <c r="AN47" s="5" t="inlineStr">
        <is>
          <t>redsevillasingluten.org</t>
        </is>
      </c>
      <c r="AO47" s="5" t="inlineStr">
        <is>
          <t>2026-04-25</t>
        </is>
      </c>
      <c r="AP47" s="5" t="inlineStr">
        <is>
          <t>2026-04-25</t>
        </is>
      </c>
    </row>
    <row r="48" ht="80.09999999999999" customHeight="1">
      <c r="A48" s="5" t="inlineStr">
        <is>
          <t>es_an_002</t>
        </is>
      </c>
      <c r="B48" s="5" t="inlineStr">
        <is>
          <t>MITO Postigo</t>
        </is>
      </c>
      <c r="C48" s="5" t="inlineStr">
        <is>
          <t>mito-postigo-sevilla</t>
        </is>
      </c>
      <c r="D48" s="5" t="inlineStr">
        <is>
          <t>ES</t>
        </is>
      </c>
      <c r="E48" s="5" t="inlineStr">
        <is>
          <t>ES-AN</t>
        </is>
      </c>
      <c r="F48" s="5" t="inlineStr">
        <is>
          <t>Andalucía</t>
        </is>
      </c>
      <c r="G48" s="5" t="inlineStr">
        <is>
          <t>Sevilla</t>
        </is>
      </c>
      <c r="H48" s="5" t="inlineStr">
        <is>
          <t>Sevilla</t>
        </is>
      </c>
      <c r="I48" s="5" t="inlineStr">
        <is>
          <t>Casco Antiguo</t>
        </is>
      </c>
      <c r="J48" s="5" t="inlineStr">
        <is>
          <t>41001</t>
        </is>
      </c>
      <c r="K48" s="5" t="inlineStr">
        <is>
          <t>C. Almirantazgo, 11</t>
        </is>
      </c>
      <c r="L48" s="5" t="n">
        <v>37.385215</v>
      </c>
      <c r="M48" s="5" t="n">
        <v>-5.994717</v>
      </c>
      <c r="N48" s="5" t="inlineStr">
        <is>
          <t>ice_cream</t>
        </is>
      </c>
      <c r="O48" s="5" t="inlineStr">
        <is>
          <t>italiana</t>
        </is>
      </c>
      <c r="P48" s="5" t="inlineStr">
        <is>
          <t>€</t>
        </is>
      </c>
      <c r="Q48" s="5" t="inlineStr">
        <is>
          <t>snacks</t>
        </is>
      </c>
      <c r="R48" s="6" t="inlineStr">
        <is>
          <t>pending_verification</t>
        </is>
      </c>
      <c r="S48" s="5" t="n"/>
      <c r="T48" s="5" t="n"/>
      <c r="U48" s="5" t="n"/>
      <c r="V48" s="5" t="inlineStr">
        <is>
          <t>Red Sevilla Sin Gluten: 'Heladería · gelato auténticamente italiano 100% sin gluten'. PRÜFEN.</t>
        </is>
      </c>
      <c r="W48" s="5" t="n"/>
      <c r="X48" s="5" t="b">
        <v>0</v>
      </c>
      <c r="Y48" s="5" t="b">
        <v>0</v>
      </c>
      <c r="Z48" s="5" t="inlineStr">
        <is>
          <t>Red Sevilla Sin Gluten</t>
        </is>
      </c>
      <c r="AA48" s="5" t="n"/>
      <c r="AB48" s="5" t="n"/>
      <c r="AC48" s="5" t="n"/>
      <c r="AD48" s="5" t="n"/>
      <c r="AE48" s="5" t="n"/>
      <c r="AF48" s="5" t="n"/>
      <c r="AG48" s="5" t="n"/>
      <c r="AH48" s="5" t="n"/>
      <c r="AI48" s="5" t="inlineStr">
        <is>
          <t>Heladería italiana 100% sin gluten en Sevilla.</t>
        </is>
      </c>
      <c r="AJ48" s="5" t="inlineStr">
        <is>
          <t>Italian gelato, 100% gluten-free, in Sevilla.</t>
        </is>
      </c>
      <c r="AK48" s="5" t="inlineStr">
        <is>
          <t>Italienische Eisdiele, 100% glutenfrei, in Sevilla.</t>
        </is>
      </c>
      <c r="AL48" s="5" t="n"/>
      <c r="AM48" s="5" t="inlineStr">
        <is>
          <t>regional_association</t>
        </is>
      </c>
      <c r="AN48" s="5" t="inlineStr">
        <is>
          <t>redsevillasingluten.org</t>
        </is>
      </c>
      <c r="AO48" s="5" t="inlineStr">
        <is>
          <t>2026-04-25</t>
        </is>
      </c>
      <c r="AP48" s="5" t="inlineStr">
        <is>
          <t>2026-04-25</t>
        </is>
      </c>
    </row>
    <row r="49" ht="80.09999999999999" customHeight="1">
      <c r="A49" s="5" t="inlineStr">
        <is>
          <t>es_an_003</t>
        </is>
      </c>
      <c r="B49" s="5" t="inlineStr">
        <is>
          <t>MITO San Pablo</t>
        </is>
      </c>
      <c r="C49" s="5" t="inlineStr">
        <is>
          <t>mito-san-pablo-sevilla</t>
        </is>
      </c>
      <c r="D49" s="5" t="inlineStr">
        <is>
          <t>ES</t>
        </is>
      </c>
      <c r="E49" s="5" t="inlineStr">
        <is>
          <t>ES-AN</t>
        </is>
      </c>
      <c r="F49" s="5" t="inlineStr">
        <is>
          <t>Andalucía</t>
        </is>
      </c>
      <c r="G49" s="5" t="inlineStr">
        <is>
          <t>Sevilla</t>
        </is>
      </c>
      <c r="H49" s="5" t="inlineStr">
        <is>
          <t>Sevilla</t>
        </is>
      </c>
      <c r="I49" s="5" t="n"/>
      <c r="J49" s="5" t="n"/>
      <c r="K49" s="5" t="inlineStr">
        <is>
          <t>C. San Pablo, 14</t>
        </is>
      </c>
      <c r="L49" s="5" t="n">
        <v>37.389741</v>
      </c>
      <c r="M49" s="5" t="n">
        <v>-5.999013</v>
      </c>
      <c r="N49" s="5" t="inlineStr">
        <is>
          <t>ice_cream</t>
        </is>
      </c>
      <c r="O49" s="5" t="inlineStr">
        <is>
          <t>italiana</t>
        </is>
      </c>
      <c r="P49" s="5" t="inlineStr">
        <is>
          <t>€</t>
        </is>
      </c>
      <c r="Q49" s="5" t="inlineStr">
        <is>
          <t>snacks</t>
        </is>
      </c>
      <c r="R49" s="6" t="inlineStr">
        <is>
          <t>pending_verification</t>
        </is>
      </c>
      <c r="S49" s="5" t="n"/>
      <c r="T49" s="5" t="n"/>
      <c r="U49" s="5" t="n"/>
      <c r="V49" s="5" t="inlineStr">
        <is>
          <t>Filiale MITO. RSSG-Netzwerk. PRÜFEN.</t>
        </is>
      </c>
      <c r="W49" s="5" t="n"/>
      <c r="X49" s="5" t="b">
        <v>0</v>
      </c>
      <c r="Y49" s="5" t="b">
        <v>0</v>
      </c>
      <c r="Z49" s="5" t="inlineStr">
        <is>
          <t>Red Sevilla Sin Gluten</t>
        </is>
      </c>
      <c r="AA49" s="5" t="n"/>
      <c r="AB49" s="5" t="n"/>
      <c r="AC49" s="5" t="n"/>
      <c r="AD49" s="5" t="n"/>
      <c r="AE49" s="5" t="n"/>
      <c r="AF49" s="5" t="n"/>
      <c r="AG49" s="5" t="n"/>
      <c r="AH49" s="5" t="n"/>
      <c r="AI49" s="5" t="inlineStr">
        <is>
          <t>Filial MITO de gelato 100% sin gluten en San Pablo.</t>
        </is>
      </c>
      <c r="AJ49" s="5" t="inlineStr">
        <is>
          <t>MITO gelato branch, 100% gluten-free, in San Pablo.</t>
        </is>
      </c>
      <c r="AK49" s="5" t="inlineStr">
        <is>
          <t>MITO-Filiale für 100% glutenfreies Gelato in San Pablo.</t>
        </is>
      </c>
      <c r="AL49" s="5" t="n"/>
      <c r="AM49" s="5" t="inlineStr">
        <is>
          <t>regional_association</t>
        </is>
      </c>
      <c r="AN49" s="5" t="inlineStr">
        <is>
          <t>redsevillasingluten.org</t>
        </is>
      </c>
      <c r="AO49" s="5" t="inlineStr">
        <is>
          <t>2026-04-25</t>
        </is>
      </c>
      <c r="AP49" s="5" t="inlineStr">
        <is>
          <t>2026-04-25</t>
        </is>
      </c>
    </row>
    <row r="50" ht="80.09999999999999" customHeight="1">
      <c r="A50" s="5" t="inlineStr">
        <is>
          <t>es_an_004</t>
        </is>
      </c>
      <c r="B50" s="5" t="inlineStr">
        <is>
          <t>Grosso Senza Glutine Sevilla</t>
        </is>
      </c>
      <c r="C50" s="5" t="inlineStr">
        <is>
          <t>grosso-senza-glutine-sevilla</t>
        </is>
      </c>
      <c r="D50" s="5" t="inlineStr">
        <is>
          <t>ES</t>
        </is>
      </c>
      <c r="E50" s="5" t="inlineStr">
        <is>
          <t>ES-AN</t>
        </is>
      </c>
      <c r="F50" s="5" t="inlineStr">
        <is>
          <t>Andalucía</t>
        </is>
      </c>
      <c r="G50" s="5" t="inlineStr">
        <is>
          <t>Sevilla</t>
        </is>
      </c>
      <c r="H50" s="5" t="inlineStr">
        <is>
          <t>Sevilla</t>
        </is>
      </c>
      <c r="I50" s="5" t="inlineStr">
        <is>
          <t>Alameda de Hércules</t>
        </is>
      </c>
      <c r="J50" s="5" t="inlineStr">
        <is>
          <t>41002</t>
        </is>
      </c>
      <c r="K50" s="5" t="inlineStr">
        <is>
          <t>Alameda de Hércules, 46</t>
        </is>
      </c>
      <c r="L50" s="5" t="n">
        <v>37.400632</v>
      </c>
      <c r="M50" s="5" t="n">
        <v>-5.993704</v>
      </c>
      <c r="N50" s="5" t="inlineStr">
        <is>
          <t>pizzeria</t>
        </is>
      </c>
      <c r="O50" s="5" t="inlineStr">
        <is>
          <t>italiana, pizzas</t>
        </is>
      </c>
      <c r="P50" s="5" t="inlineStr">
        <is>
          <t>€€</t>
        </is>
      </c>
      <c r="Q50" s="5" t="inlineStr">
        <is>
          <t>lunch, dinner</t>
        </is>
      </c>
      <c r="R50" s="6" t="inlineStr">
        <is>
          <t>pending_verification</t>
        </is>
      </c>
      <c r="S50" s="5" t="n"/>
      <c r="T50" s="5" t="n"/>
      <c r="U50" s="5" t="n"/>
      <c r="V50" s="5" t="inlineStr">
        <is>
          <t>Celiaquita: 'este local es 100% sin gluten'. Achtung: ist NUR EINE Filiale der Grosso-Napoletano-Kette 100% GF — andere haben Gluten. FACE-zertifiziert. PRÜFEN.</t>
        </is>
      </c>
      <c r="W50" s="5" t="n"/>
      <c r="X50" s="5" t="b">
        <v>1</v>
      </c>
      <c r="Y50" s="5" t="b">
        <v>0</v>
      </c>
      <c r="Z50" s="5" t="inlineStr">
        <is>
          <t>FACE</t>
        </is>
      </c>
      <c r="AA50" s="5" t="n"/>
      <c r="AB50" s="5" t="n"/>
      <c r="AC50" s="5" t="n"/>
      <c r="AD50" s="5" t="n"/>
      <c r="AE50" s="5" t="n"/>
      <c r="AF50" s="5" t="n"/>
      <c r="AG50" s="5" t="n"/>
      <c r="AH50" s="5" t="n"/>
      <c r="AI50" s="5" t="inlineStr">
        <is>
          <t>Pizzería napolitana 100% sin gluten, FACE-certificada.</t>
        </is>
      </c>
      <c r="AJ50" s="5" t="inlineStr">
        <is>
          <t>Neapolitan pizzeria, 100% gluten-free, FACE-certified.</t>
        </is>
      </c>
      <c r="AK50" s="5" t="inlineStr">
        <is>
          <t>Neapolitanische Pizzeria, 100% glutenfrei, FACE-zertifiziert.</t>
        </is>
      </c>
      <c r="AL50" s="5" t="n"/>
      <c r="AM50" s="5" t="inlineStr">
        <is>
          <t>blog_research</t>
        </is>
      </c>
      <c r="AN50" s="5" t="inlineStr">
        <is>
          <t>celiaquita.com (Stand 02/2026). NUR Alameda de Hércules — andere Filialen mit Gluten!</t>
        </is>
      </c>
      <c r="AO50" s="5" t="inlineStr">
        <is>
          <t>2026-04-25</t>
        </is>
      </c>
      <c r="AP50" s="5" t="inlineStr">
        <is>
          <t>2026-04-25</t>
        </is>
      </c>
    </row>
    <row r="51" ht="80.09999999999999" customHeight="1">
      <c r="A51" s="5" t="inlineStr">
        <is>
          <t>es_an_005</t>
        </is>
      </c>
      <c r="B51" s="5" t="inlineStr">
        <is>
          <t>Freiduría Bahía</t>
        </is>
      </c>
      <c r="C51" s="5" t="inlineStr">
        <is>
          <t>freiduria-bahia-sevilla</t>
        </is>
      </c>
      <c r="D51" s="5" t="inlineStr">
        <is>
          <t>ES</t>
        </is>
      </c>
      <c r="E51" s="5" t="inlineStr">
        <is>
          <t>ES-AN</t>
        </is>
      </c>
      <c r="F51" s="5" t="inlineStr">
        <is>
          <t>Andalucía</t>
        </is>
      </c>
      <c r="G51" s="5" t="inlineStr">
        <is>
          <t>Sevilla</t>
        </is>
      </c>
      <c r="H51" s="5" t="inlineStr">
        <is>
          <t>Sevilla</t>
        </is>
      </c>
      <c r="I51" s="5" t="n"/>
      <c r="J51" s="5" t="inlineStr">
        <is>
          <t>41010</t>
        </is>
      </c>
      <c r="K51" s="5" t="inlineStr">
        <is>
          <t>C. Génova, 2</t>
        </is>
      </c>
      <c r="L51" s="5" t="n">
        <v>37.380431</v>
      </c>
      <c r="M51" s="5" t="n">
        <v>-5.99921</v>
      </c>
      <c r="N51" s="5" t="inlineStr">
        <is>
          <t>restaurant</t>
        </is>
      </c>
      <c r="O51" s="5" t="inlineStr">
        <is>
          <t>andaluza, espanola</t>
        </is>
      </c>
      <c r="P51" s="5" t="inlineStr">
        <is>
          <t>€€</t>
        </is>
      </c>
      <c r="Q51" s="5" t="inlineStr">
        <is>
          <t>lunch, dinner</t>
        </is>
      </c>
      <c r="R51" s="6" t="inlineStr">
        <is>
          <t>pending_verification</t>
        </is>
      </c>
      <c r="S51" s="5" t="n"/>
      <c r="T51" s="5" t="n"/>
      <c r="U51" s="5" t="n"/>
      <c r="V51" s="5" t="inlineStr">
        <is>
          <t>Celinews: 'Restaurante 100% sin gluten especializado es pescado frito y carnes a la brasa'. Disfrutando sin Gluten: 'usan harina de garbanzo para todos sus platos'. PRÜFEN.</t>
        </is>
      </c>
      <c r="W51" s="5" t="n"/>
      <c r="X51" s="5" t="b">
        <v>0</v>
      </c>
      <c r="Y51" s="5" t="b">
        <v>0</v>
      </c>
      <c r="Z51" s="5" t="inlineStr">
        <is>
          <t>Red Sevilla Sin Gluten</t>
        </is>
      </c>
      <c r="AA51" s="5" t="n"/>
      <c r="AB51" s="5" t="n"/>
      <c r="AC51" s="5" t="n"/>
      <c r="AD51" s="5" t="n"/>
      <c r="AE51" s="5" t="n"/>
      <c r="AF51" s="5" t="n"/>
      <c r="AG51" s="5" t="n"/>
      <c r="AH51" s="5" t="n"/>
      <c r="AI51" s="5" t="inlineStr">
        <is>
          <t>Freiduría 100% sin gluten especializada en pescado frito y carnes a la brasa.</t>
        </is>
      </c>
      <c r="AJ51" s="5" t="inlineStr">
        <is>
          <t>100% gluten-free fried fish and grill restaurant.</t>
        </is>
      </c>
      <c r="AK51" s="5" t="inlineStr">
        <is>
          <t>100% glutenfreies Restaurant für Fritiertes und Gegrilltes.</t>
        </is>
      </c>
      <c r="AL51" s="5" t="n"/>
      <c r="AM51" s="5" t="inlineStr">
        <is>
          <t>regional_association</t>
        </is>
      </c>
      <c r="AN51" s="5" t="inlineStr">
        <is>
          <t>redsevillasingluten.org + celinews.com + disfrutandosingluten.es</t>
        </is>
      </c>
      <c r="AO51" s="5" t="inlineStr">
        <is>
          <t>2026-04-25</t>
        </is>
      </c>
      <c r="AP51" s="5" t="inlineStr">
        <is>
          <t>2026-04-25</t>
        </is>
      </c>
    </row>
    <row r="52" ht="80.09999999999999" customHeight="1">
      <c r="A52" s="5" t="inlineStr">
        <is>
          <t>es_an_006</t>
        </is>
      </c>
      <c r="B52" s="5" t="inlineStr">
        <is>
          <t>Taberna La Oficina</t>
        </is>
      </c>
      <c r="C52" s="5" t="inlineStr">
        <is>
          <t>taberna-la-oficina-sevilla</t>
        </is>
      </c>
      <c r="D52" s="5" t="inlineStr">
        <is>
          <t>ES</t>
        </is>
      </c>
      <c r="E52" s="5" t="inlineStr">
        <is>
          <t>ES-AN</t>
        </is>
      </c>
      <c r="F52" s="5" t="inlineStr">
        <is>
          <t>Andalucía</t>
        </is>
      </c>
      <c r="G52" s="5" t="inlineStr">
        <is>
          <t>Sevilla</t>
        </is>
      </c>
      <c r="H52" s="5" t="inlineStr">
        <is>
          <t>Sevilla</t>
        </is>
      </c>
      <c r="I52" s="5" t="n"/>
      <c r="J52" s="5" t="n"/>
      <c r="K52" s="5" t="inlineStr">
        <is>
          <t>Pl. Amoríos, 1, local A</t>
        </is>
      </c>
      <c r="L52" s="5" t="n">
        <v>37.38863</v>
      </c>
      <c r="M52" s="5" t="n">
        <v>-5.99534</v>
      </c>
      <c r="N52" s="5" t="inlineStr">
        <is>
          <t>restaurant</t>
        </is>
      </c>
      <c r="O52" s="5" t="inlineStr">
        <is>
          <t>venezolana, internacional</t>
        </is>
      </c>
      <c r="P52" s="5" t="inlineStr">
        <is>
          <t>€€</t>
        </is>
      </c>
      <c r="Q52" s="5" t="inlineStr">
        <is>
          <t>breakfast, lunch, dinner</t>
        </is>
      </c>
      <c r="R52" s="6" t="inlineStr">
        <is>
          <t>pending_verification</t>
        </is>
      </c>
      <c r="S52" s="5" t="n"/>
      <c r="T52" s="5" t="n"/>
      <c r="U52" s="5" t="n"/>
      <c r="V52" s="5" t="inlineStr">
        <is>
          <t>Celinews: 'Restaurante 100% sin gluten con una cocina de fusión con alma venezolana'. RSSG-Netzwerk. PRÜFEN.</t>
        </is>
      </c>
      <c r="W52" s="5" t="n"/>
      <c r="X52" s="5" t="b">
        <v>0</v>
      </c>
      <c r="Y52" s="5" t="b">
        <v>0</v>
      </c>
      <c r="Z52" s="5" t="inlineStr">
        <is>
          <t>Red Sevilla Sin Gluten</t>
        </is>
      </c>
      <c r="AA52" s="5" t="n"/>
      <c r="AB52" s="5" t="n"/>
      <c r="AC52" s="5" t="n"/>
      <c r="AD52" s="5" t="n"/>
      <c r="AE52" s="5" t="n"/>
      <c r="AF52" s="5" t="n"/>
      <c r="AG52" s="5" t="n"/>
      <c r="AH52" s="5" t="n"/>
      <c r="AI52" s="5" t="inlineStr">
        <is>
          <t>Taberna 100% sin gluten con cocina de fusión venezolana.</t>
        </is>
      </c>
      <c r="AJ52" s="5" t="inlineStr">
        <is>
          <t>100% gluten-free tavern with Venezuelan fusion cuisine.</t>
        </is>
      </c>
      <c r="AK52" s="5" t="inlineStr">
        <is>
          <t>100% glutenfreie Taverne mit venezolanischer Fusionsküche.</t>
        </is>
      </c>
      <c r="AL52" s="5" t="n"/>
      <c r="AM52" s="5" t="inlineStr">
        <is>
          <t>regional_association</t>
        </is>
      </c>
      <c r="AN52" s="5" t="inlineStr">
        <is>
          <t>redsevillasingluten.org + celinews.com</t>
        </is>
      </c>
      <c r="AO52" s="5" t="inlineStr">
        <is>
          <t>2026-04-25</t>
        </is>
      </c>
      <c r="AP52" s="5" t="inlineStr">
        <is>
          <t>2026-04-25</t>
        </is>
      </c>
    </row>
    <row r="53" ht="80.09999999999999" customHeight="1">
      <c r="A53" s="5" t="inlineStr">
        <is>
          <t>es_an_007</t>
        </is>
      </c>
      <c r="B53" s="5" t="inlineStr">
        <is>
          <t>La Monella</t>
        </is>
      </c>
      <c r="C53" s="5" t="inlineStr">
        <is>
          <t>la-monella-sevilla</t>
        </is>
      </c>
      <c r="D53" s="5" t="inlineStr">
        <is>
          <t>ES</t>
        </is>
      </c>
      <c r="E53" s="5" t="inlineStr">
        <is>
          <t>ES-AN</t>
        </is>
      </c>
      <c r="F53" s="5" t="inlineStr">
        <is>
          <t>Andalucía</t>
        </is>
      </c>
      <c r="G53" s="5" t="inlineStr">
        <is>
          <t>Sevilla</t>
        </is>
      </c>
      <c r="H53" s="5" t="inlineStr">
        <is>
          <t>Sevilla</t>
        </is>
      </c>
      <c r="I53" s="5" t="inlineStr">
        <is>
          <t>Sevilla Este</t>
        </is>
      </c>
      <c r="J53" s="5" t="n"/>
      <c r="K53" s="5" t="inlineStr">
        <is>
          <t>Av. Alcalde Luis Uruñuela, Edificio Congreso, local 18</t>
        </is>
      </c>
      <c r="L53" s="5" t="n">
        <v>37.38863</v>
      </c>
      <c r="M53" s="5" t="n">
        <v>-5.99534</v>
      </c>
      <c r="N53" s="5" t="inlineStr">
        <is>
          <t>restaurant</t>
        </is>
      </c>
      <c r="O53" s="5" t="inlineStr">
        <is>
          <t>italiana, pizzas, pasta</t>
        </is>
      </c>
      <c r="P53" s="5" t="inlineStr">
        <is>
          <t>€€</t>
        </is>
      </c>
      <c r="Q53" s="5" t="inlineStr">
        <is>
          <t>lunch, dinner</t>
        </is>
      </c>
      <c r="R53" s="6" t="inlineStr">
        <is>
          <t>pending_verification</t>
        </is>
      </c>
      <c r="S53" s="5" t="n"/>
      <c r="T53" s="5" t="n"/>
      <c r="U53" s="5" t="n"/>
      <c r="V53" s="5" t="inlineStr">
        <is>
          <t>Celinews: 'Restaurante italiano 100% sin gluten y sin lactosa'. RSSG-Netzwerk. PRÜFEN.</t>
        </is>
      </c>
      <c r="W53" s="5" t="n"/>
      <c r="X53" s="5" t="b">
        <v>0</v>
      </c>
      <c r="Y53" s="5" t="b">
        <v>0</v>
      </c>
      <c r="Z53" s="5" t="inlineStr">
        <is>
          <t>Red Sevilla Sin Gluten</t>
        </is>
      </c>
      <c r="AA53" s="5" t="n"/>
      <c r="AB53" s="5" t="n"/>
      <c r="AC53" s="5" t="n"/>
      <c r="AD53" s="5" t="n"/>
      <c r="AE53" s="5" t="n"/>
      <c r="AF53" s="5" t="n"/>
      <c r="AG53" s="5" t="n"/>
      <c r="AH53" s="5" t="n"/>
      <c r="AI53" s="5" t="inlineStr">
        <is>
          <t>Restaurante italiano 100% sin gluten y sin lactosa.</t>
        </is>
      </c>
      <c r="AJ53" s="5" t="inlineStr">
        <is>
          <t>100% gluten-free and lactose-free Italian restaurant.</t>
        </is>
      </c>
      <c r="AK53" s="5" t="inlineStr">
        <is>
          <t>100% glutenfreies und laktosefreies italienisches Restaurant.</t>
        </is>
      </c>
      <c r="AL53" s="5" t="n"/>
      <c r="AM53" s="5" t="inlineStr">
        <is>
          <t>regional_association</t>
        </is>
      </c>
      <c r="AN53" s="5" t="inlineStr">
        <is>
          <t>redsevillasingluten.org + celinews.com</t>
        </is>
      </c>
      <c r="AO53" s="5" t="inlineStr">
        <is>
          <t>2026-04-25</t>
        </is>
      </c>
      <c r="AP53" s="5" t="inlineStr">
        <is>
          <t>2026-04-25</t>
        </is>
      </c>
    </row>
    <row r="54" ht="80.09999999999999" customHeight="1">
      <c r="A54" s="5" t="inlineStr">
        <is>
          <t>es_an_008</t>
        </is>
      </c>
      <c r="B54" s="5" t="inlineStr">
        <is>
          <t>Petit Comité</t>
        </is>
      </c>
      <c r="C54" s="5" t="inlineStr">
        <is>
          <t>petit-comite-sevilla</t>
        </is>
      </c>
      <c r="D54" s="5" t="inlineStr">
        <is>
          <t>ES</t>
        </is>
      </c>
      <c r="E54" s="5" t="inlineStr">
        <is>
          <t>ES-AN</t>
        </is>
      </c>
      <c r="F54" s="5" t="inlineStr">
        <is>
          <t>Andalucía</t>
        </is>
      </c>
      <c r="G54" s="5" t="inlineStr">
        <is>
          <t>Sevilla</t>
        </is>
      </c>
      <c r="H54" s="5" t="inlineStr">
        <is>
          <t>Sevilla</t>
        </is>
      </c>
      <c r="I54" s="5" t="n"/>
      <c r="J54" s="5" t="n"/>
      <c r="K54" s="5" t="inlineStr">
        <is>
          <t>C. Dos de Mayo, 30</t>
        </is>
      </c>
      <c r="L54" s="5" t="n">
        <v>37.384632</v>
      </c>
      <c r="M54" s="5" t="n">
        <v>-5.996713</v>
      </c>
      <c r="N54" s="5" t="inlineStr">
        <is>
          <t>bar_tapas</t>
        </is>
      </c>
      <c r="O54" s="5" t="inlineStr">
        <is>
          <t>tapas, espanola</t>
        </is>
      </c>
      <c r="P54" s="5" t="inlineStr">
        <is>
          <t>€€</t>
        </is>
      </c>
      <c r="Q54" s="5" t="inlineStr">
        <is>
          <t>lunch, dinner, snacks</t>
        </is>
      </c>
      <c r="R54" s="6" t="inlineStr">
        <is>
          <t>pending_verification</t>
        </is>
      </c>
      <c r="S54" s="5" t="n"/>
      <c r="T54" s="5" t="n"/>
      <c r="U54" s="5" t="n"/>
      <c r="V54" s="5" t="inlineStr">
        <is>
          <t>Red Sevilla Sin Gluten: 'Restaurante · bar de tapas'. PRÜFEN: ist es 100% GF oder Mischbetrieb mit GF-Karte?</t>
        </is>
      </c>
      <c r="W54" s="5" t="n"/>
      <c r="X54" s="5" t="b">
        <v>0</v>
      </c>
      <c r="Y54" s="5" t="b">
        <v>0</v>
      </c>
      <c r="Z54" s="5" t="inlineStr">
        <is>
          <t>Red Sevilla Sin Gluten</t>
        </is>
      </c>
      <c r="AA54" s="5" t="n"/>
      <c r="AB54" s="5" t="n"/>
      <c r="AC54" s="5" t="n"/>
      <c r="AD54" s="5" t="n"/>
      <c r="AE54" s="5" t="n"/>
      <c r="AF54" s="5" t="n"/>
      <c r="AG54" s="5" t="n"/>
      <c r="AH54" s="5" t="n"/>
      <c r="AI54" s="5" t="n"/>
      <c r="AJ54" s="5" t="n"/>
      <c r="AK54" s="5" t="n"/>
      <c r="AL54" s="5" t="n"/>
      <c r="AM54" s="5" t="inlineStr">
        <is>
          <t>regional_association</t>
        </is>
      </c>
      <c r="AN54" s="5" t="inlineStr">
        <is>
          <t>redsevillasingluten.org — Status 100% UNKLAR</t>
        </is>
      </c>
      <c r="AO54" s="5" t="inlineStr">
        <is>
          <t>2026-04-25</t>
        </is>
      </c>
      <c r="AP54" s="5" t="inlineStr">
        <is>
          <t>2026-04-25</t>
        </is>
      </c>
    </row>
    <row r="55" ht="80.09999999999999" customHeight="1">
      <c r="A55" s="5" t="inlineStr">
        <is>
          <t>es_an_009</t>
        </is>
      </c>
      <c r="B55" s="5" t="inlineStr">
        <is>
          <t>Mehl Bermejales</t>
        </is>
      </c>
      <c r="C55" s="5" t="inlineStr">
        <is>
          <t>mehl-bermejales-sevilla</t>
        </is>
      </c>
      <c r="D55" s="5" t="inlineStr">
        <is>
          <t>ES</t>
        </is>
      </c>
      <c r="E55" s="5" t="inlineStr">
        <is>
          <t>ES-AN</t>
        </is>
      </c>
      <c r="F55" s="5" t="inlineStr">
        <is>
          <t>Andalucía</t>
        </is>
      </c>
      <c r="G55" s="5" t="inlineStr">
        <is>
          <t>Sevilla</t>
        </is>
      </c>
      <c r="H55" s="5" t="inlineStr">
        <is>
          <t>Sevilla</t>
        </is>
      </c>
      <c r="I55" s="5" t="inlineStr">
        <is>
          <t>Bermejales</t>
        </is>
      </c>
      <c r="J55" s="5" t="n"/>
      <c r="K55" s="5" t="inlineStr">
        <is>
          <t>Av. de Alemania, 20</t>
        </is>
      </c>
      <c r="L55" s="5" t="n">
        <v>37.345743</v>
      </c>
      <c r="M55" s="5" t="n">
        <v>-5.981064</v>
      </c>
      <c r="N55" s="5" t="inlineStr">
        <is>
          <t>cafe</t>
        </is>
      </c>
      <c r="O55" s="5" t="inlineStr">
        <is>
          <t>saludable</t>
        </is>
      </c>
      <c r="P55" s="5" t="inlineStr">
        <is>
          <t>€€</t>
        </is>
      </c>
      <c r="Q55" s="5" t="inlineStr">
        <is>
          <t>breakfast, brunch, snacks</t>
        </is>
      </c>
      <c r="R55" s="6" t="inlineStr">
        <is>
          <t>pending_verification</t>
        </is>
      </c>
      <c r="S55" s="5" t="n"/>
      <c r="T55" s="5" t="n"/>
      <c r="U55" s="5" t="n"/>
      <c r="V55" s="5" t="inlineStr">
        <is>
          <t>RSSG-Netzwerk: 'Producto de cercanía · cafetería'. PRÜFEN: Status 100% GF.</t>
        </is>
      </c>
      <c r="W55" s="5" t="n"/>
      <c r="X55" s="5" t="b">
        <v>0</v>
      </c>
      <c r="Y55" s="5" t="b">
        <v>0</v>
      </c>
      <c r="Z55" s="5" t="inlineStr">
        <is>
          <t>Red Sevilla Sin Gluten</t>
        </is>
      </c>
      <c r="AA55" s="5" t="n"/>
      <c r="AB55" s="5" t="n"/>
      <c r="AC55" s="5" t="n"/>
      <c r="AD55" s="5" t="n"/>
      <c r="AE55" s="5" t="n"/>
      <c r="AF55" s="5" t="n"/>
      <c r="AG55" s="5" t="n"/>
      <c r="AH55" s="5" t="n"/>
      <c r="AI55" s="5" t="n"/>
      <c r="AJ55" s="5" t="n"/>
      <c r="AK55" s="5" t="n"/>
      <c r="AL55" s="5" t="n"/>
      <c r="AM55" s="5" t="inlineStr">
        <is>
          <t>regional_association</t>
        </is>
      </c>
      <c r="AN55" s="5" t="inlineStr">
        <is>
          <t>redsevillasingluten.org — Status 100% UNKLAR</t>
        </is>
      </c>
      <c r="AO55" s="5" t="inlineStr">
        <is>
          <t>2026-04-25</t>
        </is>
      </c>
      <c r="AP55" s="5" t="inlineStr">
        <is>
          <t>2026-04-25</t>
        </is>
      </c>
    </row>
    <row r="56" ht="80.09999999999999" customHeight="1">
      <c r="A56" s="5" t="inlineStr">
        <is>
          <t>es_an_010</t>
        </is>
      </c>
      <c r="B56" s="5" t="inlineStr">
        <is>
          <t>Casa Antonio Fuengirola</t>
        </is>
      </c>
      <c r="C56" s="5" t="inlineStr">
        <is>
          <t>casa-antonio-fuengirola</t>
        </is>
      </c>
      <c r="D56" s="5" t="inlineStr">
        <is>
          <t>ES</t>
        </is>
      </c>
      <c r="E56" s="5" t="inlineStr">
        <is>
          <t>ES-AN</t>
        </is>
      </c>
      <c r="F56" s="5" t="inlineStr">
        <is>
          <t>Andalucía</t>
        </is>
      </c>
      <c r="G56" s="5" t="inlineStr">
        <is>
          <t>Málaga</t>
        </is>
      </c>
      <c r="H56" s="5" t="inlineStr">
        <is>
          <t>Fuengirola</t>
        </is>
      </c>
      <c r="I56" s="5" t="n"/>
      <c r="J56" s="5" t="n"/>
      <c r="K56" s="5" t="n"/>
      <c r="L56" s="5" t="n">
        <v>36.53884</v>
      </c>
      <c r="M56" s="5" t="n">
        <v>-4.623397</v>
      </c>
      <c r="N56" s="5" t="inlineStr">
        <is>
          <t>restaurant</t>
        </is>
      </c>
      <c r="O56" s="5" t="inlineStr">
        <is>
          <t>andaluza, espanola</t>
        </is>
      </c>
      <c r="P56" s="5" t="inlineStr">
        <is>
          <t>€€</t>
        </is>
      </c>
      <c r="Q56" s="5" t="inlineStr">
        <is>
          <t>lunch, dinner</t>
        </is>
      </c>
      <c r="R56" s="6" t="inlineStr">
        <is>
          <t>pending_verification</t>
        </is>
      </c>
      <c r="S56" s="5" t="n"/>
      <c r="T56" s="5" t="n"/>
      <c r="U56" s="5" t="n"/>
      <c r="V56" s="5" t="inlineStr">
        <is>
          <t>Celicidad: '100% sin gluten en el que disfrutar de la tradición malagueña'. PRÜFEN: Adresse, Telefon.</t>
        </is>
      </c>
      <c r="W56" s="5" t="n"/>
      <c r="X56" s="5" t="b">
        <v>0</v>
      </c>
      <c r="Y56" s="5" t="b">
        <v>0</v>
      </c>
      <c r="Z56" s="5" t="n"/>
      <c r="AA56" s="5" t="n"/>
      <c r="AB56" s="5" t="n"/>
      <c r="AC56" s="5" t="n"/>
      <c r="AD56" s="5" t="n"/>
      <c r="AE56" s="5" t="n"/>
      <c r="AF56" s="5" t="n"/>
      <c r="AG56" s="5" t="n"/>
      <c r="AH56" s="5" t="n"/>
      <c r="AI56" s="5" t="inlineStr">
        <is>
          <t>Restaurante 100% sin gluten en Fuengirola con cocina malagueña tradicional.</t>
        </is>
      </c>
      <c r="AJ56" s="5" t="inlineStr">
        <is>
          <t>100% gluten-free restaurant in Fuengirola with traditional Málaga cuisine.</t>
        </is>
      </c>
      <c r="AK56" s="5" t="inlineStr">
        <is>
          <t>100% glutenfreies Restaurant in Fuengirola mit traditioneller Málaga-Küche.</t>
        </is>
      </c>
      <c r="AL56" s="5" t="n"/>
      <c r="AM56" s="5" t="inlineStr">
        <is>
          <t>blog_research</t>
        </is>
      </c>
      <c r="AN56" s="5" t="inlineStr">
        <is>
          <t>celicidad.net (Stand 07/2024)</t>
        </is>
      </c>
      <c r="AO56" s="5" t="inlineStr">
        <is>
          <t>2026-04-25</t>
        </is>
      </c>
      <c r="AP56" s="5" t="inlineStr">
        <is>
          <t>2026-04-25</t>
        </is>
      </c>
    </row>
    <row r="57" ht="80.09999999999999" customHeight="1">
      <c r="A57" s="5" t="inlineStr">
        <is>
          <t>es_an_011</t>
        </is>
      </c>
      <c r="B57" s="5" t="inlineStr">
        <is>
          <t>Sociedad de Plateros María Auxiliadora</t>
        </is>
      </c>
      <c r="C57" s="5" t="inlineStr">
        <is>
          <t>plateros-maria-auxiliadora-cordoba</t>
        </is>
      </c>
      <c r="D57" s="5" t="inlineStr">
        <is>
          <t>ES</t>
        </is>
      </c>
      <c r="E57" s="5" t="inlineStr">
        <is>
          <t>ES-AN</t>
        </is>
      </c>
      <c r="F57" s="5" t="inlineStr">
        <is>
          <t>Andalucía</t>
        </is>
      </c>
      <c r="G57" s="5" t="inlineStr">
        <is>
          <t>Córdoba</t>
        </is>
      </c>
      <c r="H57" s="5" t="inlineStr">
        <is>
          <t>Córdoba</t>
        </is>
      </c>
      <c r="I57" s="5" t="n"/>
      <c r="J57" s="5" t="n"/>
      <c r="K57" s="5" t="n"/>
      <c r="L57" s="5" t="n">
        <v>37.884581</v>
      </c>
      <c r="M57" s="5" t="n">
        <v>-4.776014</v>
      </c>
      <c r="N57" s="5" t="inlineStr">
        <is>
          <t>restaurant</t>
        </is>
      </c>
      <c r="O57" s="5" t="inlineStr">
        <is>
          <t>andaluza, cordobesa, espanola</t>
        </is>
      </c>
      <c r="P57" s="5" t="inlineStr">
        <is>
          <t>€€€</t>
        </is>
      </c>
      <c r="Q57" s="5" t="inlineStr">
        <is>
          <t>lunch, dinner</t>
        </is>
      </c>
      <c r="R57" s="6" t="inlineStr">
        <is>
          <t>pending_verification</t>
        </is>
      </c>
      <c r="S57" s="5" t="n"/>
      <c r="T57" s="5" t="n"/>
      <c r="U57" s="5" t="n"/>
      <c r="V57" s="5" t="inlineStr">
        <is>
          <t>Celicidad-RANKING 2024: Bestes GF-Restaurant Spaniens. UNKLAR ob 100% GF — 'vajilla especial para nosotros y elaboran su propio pan' deutet eher auf Mischbetrieb. KLÄRUNGSBEDARF! Möglicherweise nicht für 100%-GF-Datenbank geeignet.</t>
        </is>
      </c>
      <c r="W57" s="5" t="n"/>
      <c r="X57" s="5" t="b">
        <v>0</v>
      </c>
      <c r="Y57" s="5" t="b">
        <v>0</v>
      </c>
      <c r="Z57" s="5" t="n"/>
      <c r="AA57" s="5" t="n"/>
      <c r="AB57" s="5" t="n"/>
      <c r="AC57" s="5" t="n"/>
      <c r="AD57" s="5" t="n"/>
      <c r="AE57" s="5" t="n"/>
      <c r="AF57" s="5" t="n"/>
      <c r="AG57" s="5" t="n"/>
      <c r="AH57" s="5" t="n"/>
      <c r="AI57" s="5" t="n"/>
      <c r="AJ57" s="5" t="n"/>
      <c r="AK57" s="5" t="n"/>
      <c r="AL57" s="5" t="n"/>
      <c r="AM57" s="5" t="inlineStr">
        <is>
          <t>blog_research</t>
        </is>
      </c>
      <c r="AN57" s="5" t="inlineStr">
        <is>
          <t>celicidad.net (Stand 07/2024). Status 100% UNKLAR — möglicherweise Mischbetrieb.</t>
        </is>
      </c>
      <c r="AO57" s="5" t="inlineStr">
        <is>
          <t>2026-04-25</t>
        </is>
      </c>
      <c r="AP57" s="5" t="inlineStr">
        <is>
          <t>2026-04-25</t>
        </is>
      </c>
    </row>
    <row r="58" ht="80.09999999999999" customHeight="1">
      <c r="A58" s="5" t="inlineStr">
        <is>
          <t>es_pv_001</t>
        </is>
      </c>
      <c r="B58" s="5" t="inlineStr">
        <is>
          <t>Naked &amp; Sated Bilbao</t>
        </is>
      </c>
      <c r="C58" s="5" t="inlineStr">
        <is>
          <t>naked-sated-bilbao</t>
        </is>
      </c>
      <c r="D58" s="5" t="inlineStr">
        <is>
          <t>ES</t>
        </is>
      </c>
      <c r="E58" s="5" t="inlineStr">
        <is>
          <t>ES-PV</t>
        </is>
      </c>
      <c r="F58" s="5" t="inlineStr">
        <is>
          <t>País Vasco / Euskadi</t>
        </is>
      </c>
      <c r="G58" s="5" t="inlineStr">
        <is>
          <t>Vizcaya</t>
        </is>
      </c>
      <c r="H58" s="5" t="inlineStr">
        <is>
          <t>Bilbao</t>
        </is>
      </c>
      <c r="I58" s="5" t="inlineStr">
        <is>
          <t>Abando</t>
        </is>
      </c>
      <c r="J58" s="5" t="inlineStr">
        <is>
          <t>48001</t>
        </is>
      </c>
      <c r="K58" s="5" t="inlineStr">
        <is>
          <t>Paseo de Uribitarte, 4</t>
        </is>
      </c>
      <c r="L58" s="5" t="n">
        <v>43.26507</v>
      </c>
      <c r="M58" s="5" t="n">
        <v>-2.927787</v>
      </c>
      <c r="N58" s="5" t="inlineStr">
        <is>
          <t>restaurant</t>
        </is>
      </c>
      <c r="O58" s="5" t="inlineStr">
        <is>
          <t>saludable, hamburguesas, pizzas, internacional</t>
        </is>
      </c>
      <c r="P58" s="5" t="inlineStr">
        <is>
          <t>€€</t>
        </is>
      </c>
      <c r="Q58" s="5" t="inlineStr">
        <is>
          <t>brunch, lunch, dinner</t>
        </is>
      </c>
      <c r="R58" s="6" t="inlineStr">
        <is>
          <t>pending_verification</t>
        </is>
      </c>
      <c r="S58" s="5" t="n"/>
      <c r="T58" s="5" t="n"/>
      <c r="U58" s="5" t="n"/>
      <c r="V58" s="5" t="inlineStr">
        <is>
          <t>Disfrutando sin Gluten + Celiaquita: '100% sin gluten y alimentación saludable y libre de azúcares añadidos'. Eröffnet 2021 in Bilbao. Kette von Roberto Bosquet (auch in Madrid + Valencia). PRÜFEN.</t>
        </is>
      </c>
      <c r="W58" s="5" t="n"/>
      <c r="X58" s="5" t="b">
        <v>0</v>
      </c>
      <c r="Y58" s="5" t="b">
        <v>0</v>
      </c>
      <c r="Z58" s="5" t="inlineStr">
        <is>
          <t>Celiacos Euskadi</t>
        </is>
      </c>
      <c r="AA58" s="5" t="n"/>
      <c r="AB58" s="5" t="n"/>
      <c r="AC58" s="5" t="n"/>
      <c r="AD58" s="5" t="n"/>
      <c r="AE58" s="5" t="n"/>
      <c r="AF58" s="5" t="n"/>
      <c r="AG58" s="5" t="n"/>
      <c r="AH58" s="5" t="n"/>
      <c r="AI58" s="5" t="inlineStr">
        <is>
          <t>Restaurante 100% sin gluten con pizzas, hamburguesas, brunch y donuts saludables.</t>
        </is>
      </c>
      <c r="AJ58" s="5" t="inlineStr">
        <is>
          <t>100% gluten-free restaurant with pizzas, burgers, brunch and healthy donuts.</t>
        </is>
      </c>
      <c r="AK58" s="5" t="inlineStr">
        <is>
          <t>100% glutenfreies Restaurant mit Pizza, Burgern, Brunch und gesunden Donuts.</t>
        </is>
      </c>
      <c r="AL58" s="5" t="n"/>
      <c r="AM58" s="5" t="inlineStr">
        <is>
          <t>blog_research</t>
        </is>
      </c>
      <c r="AN58" s="5" t="inlineStr">
        <is>
          <t>disfrutandosingluten.es + celiaquita.com (Stand 02/2026)</t>
        </is>
      </c>
      <c r="AO58" s="5" t="inlineStr">
        <is>
          <t>2026-04-25</t>
        </is>
      </c>
      <c r="AP58" s="5" t="inlineStr">
        <is>
          <t>2026-04-25</t>
        </is>
      </c>
    </row>
    <row r="59" ht="80.09999999999999" customHeight="1">
      <c r="A59" s="5" t="inlineStr">
        <is>
          <t>es_pv_002</t>
        </is>
      </c>
      <c r="B59" s="5" t="inlineStr">
        <is>
          <t>Bausk</t>
        </is>
      </c>
      <c r="C59" s="5" t="inlineStr">
        <is>
          <t>bausk-bilbao</t>
        </is>
      </c>
      <c r="D59" s="5" t="inlineStr">
        <is>
          <t>ES</t>
        </is>
      </c>
      <c r="E59" s="5" t="inlineStr">
        <is>
          <t>ES-PV</t>
        </is>
      </c>
      <c r="F59" s="5" t="inlineStr">
        <is>
          <t>País Vasco / Euskadi</t>
        </is>
      </c>
      <c r="G59" s="5" t="inlineStr">
        <is>
          <t>Vizcaya</t>
        </is>
      </c>
      <c r="H59" s="5" t="inlineStr">
        <is>
          <t>Bilbao</t>
        </is>
      </c>
      <c r="I59" s="5" t="inlineStr">
        <is>
          <t>Centro</t>
        </is>
      </c>
      <c r="J59" s="5" t="n"/>
      <c r="K59" s="5" t="n"/>
      <c r="L59" s="5" t="n">
        <v>43.263002</v>
      </c>
      <c r="M59" s="5" t="n">
        <v>-2.935004</v>
      </c>
      <c r="N59" s="5" t="inlineStr">
        <is>
          <t>restaurant</t>
        </is>
      </c>
      <c r="O59" s="5" t="inlineStr">
        <is>
          <t>saludable, internacional</t>
        </is>
      </c>
      <c r="P59" s="5" t="inlineStr">
        <is>
          <t>€€</t>
        </is>
      </c>
      <c r="Q59" s="5" t="inlineStr">
        <is>
          <t>lunch, dinner</t>
        </is>
      </c>
      <c r="R59" s="6" t="inlineStr">
        <is>
          <t>pending_verification</t>
        </is>
      </c>
      <c r="S59" s="5" t="n"/>
      <c r="T59" s="5" t="n"/>
      <c r="U59" s="5" t="n"/>
      <c r="V59" s="5" t="inlineStr">
        <is>
          <t>Disfrutando sin Gluten: 'En pleno centro de Bilbao, boles saludables 100% sin gluten y con opciones veganas'. PRÜFEN: Adresse.</t>
        </is>
      </c>
      <c r="W59" s="5" t="n"/>
      <c r="X59" s="5" t="b">
        <v>0</v>
      </c>
      <c r="Y59" s="5" t="b">
        <v>0</v>
      </c>
      <c r="Z59" s="5" t="inlineStr">
        <is>
          <t>Celiacos Euskadi</t>
        </is>
      </c>
      <c r="AA59" s="5" t="n"/>
      <c r="AB59" s="5" t="n"/>
      <c r="AC59" s="5" t="n"/>
      <c r="AD59" s="5" t="n"/>
      <c r="AE59" s="5" t="n"/>
      <c r="AF59" s="5" t="n"/>
      <c r="AG59" s="5" t="n"/>
      <c r="AH59" s="5" t="n"/>
      <c r="AI59" s="5" t="inlineStr">
        <is>
          <t>Boles saludables 100% sin gluten con opciones veganas en el centro de Bilbao.</t>
        </is>
      </c>
      <c r="AJ59" s="5" t="inlineStr">
        <is>
          <t>Healthy bowls, 100% gluten-free with vegan options in central Bilbao.</t>
        </is>
      </c>
      <c r="AK59" s="5" t="inlineStr">
        <is>
          <t>Gesunde Bowls, 100% glutenfrei mit veganen Optionen im Zentrum von Bilbao.</t>
        </is>
      </c>
      <c r="AL59" s="5" t="n"/>
      <c r="AM59" s="5" t="inlineStr">
        <is>
          <t>blog_research</t>
        </is>
      </c>
      <c r="AN59" s="5" t="inlineStr">
        <is>
          <t>disfrutandosingluten.es (Stand 02/2026)</t>
        </is>
      </c>
      <c r="AO59" s="5" t="inlineStr">
        <is>
          <t>2026-04-25</t>
        </is>
      </c>
      <c r="AP59" s="5" t="inlineStr">
        <is>
          <t>2026-04-25</t>
        </is>
      </c>
    </row>
    <row r="60" ht="80.09999999999999" customHeight="1">
      <c r="A60" s="5" t="inlineStr">
        <is>
          <t>es_pv_003</t>
        </is>
      </c>
      <c r="B60" s="5" t="inlineStr">
        <is>
          <t>Grosso Napoletano Bilbao</t>
        </is>
      </c>
      <c r="C60" s="5" t="inlineStr">
        <is>
          <t>grosso-napoletano-bilbao</t>
        </is>
      </c>
      <c r="D60" s="5" t="inlineStr">
        <is>
          <t>ES</t>
        </is>
      </c>
      <c r="E60" s="5" t="inlineStr">
        <is>
          <t>ES-PV</t>
        </is>
      </c>
      <c r="F60" s="5" t="inlineStr">
        <is>
          <t>País Vasco / Euskadi</t>
        </is>
      </c>
      <c r="G60" s="5" t="inlineStr">
        <is>
          <t>Vizcaya</t>
        </is>
      </c>
      <c r="H60" s="5" t="inlineStr">
        <is>
          <t>Bilbao</t>
        </is>
      </c>
      <c r="I60" s="5" t="n"/>
      <c r="J60" s="5" t="n"/>
      <c r="K60" s="5" t="n"/>
      <c r="L60" s="5" t="n">
        <v>43.263002</v>
      </c>
      <c r="M60" s="5" t="n">
        <v>-2.935004</v>
      </c>
      <c r="N60" s="5" t="inlineStr">
        <is>
          <t>pizzeria</t>
        </is>
      </c>
      <c r="O60" s="5" t="inlineStr">
        <is>
          <t>italiana, pizzas, pasta</t>
        </is>
      </c>
      <c r="P60" s="5" t="inlineStr">
        <is>
          <t>€€</t>
        </is>
      </c>
      <c r="Q60" s="5" t="inlineStr">
        <is>
          <t>lunch, dinner</t>
        </is>
      </c>
      <c r="R60" s="6" t="inlineStr">
        <is>
          <t>pending_verification</t>
        </is>
      </c>
      <c r="S60" s="5" t="n"/>
      <c r="T60" s="5" t="n"/>
      <c r="U60" s="5" t="n"/>
      <c r="V60" s="5" t="inlineStr">
        <is>
          <t>Disfrutando sin Gluten: 'La famosa cadena de restaurantes abrió su primer local 100% sin gluten en Bilbao en 2024'. ACHTUNG: nur dieser Standort 100% GF — andere Grosso Napoletano-Filialen mit Gluten! PRÜFEN: Adresse, aktueller Status.</t>
        </is>
      </c>
      <c r="W60" s="5" t="n"/>
      <c r="X60" s="5" t="b">
        <v>1</v>
      </c>
      <c r="Y60" s="5" t="b">
        <v>0</v>
      </c>
      <c r="Z60" s="5" t="inlineStr">
        <is>
          <t>FACE, Celiacos Euskadi</t>
        </is>
      </c>
      <c r="AA60" s="5" t="n"/>
      <c r="AB60" s="5" t="n"/>
      <c r="AC60" s="5" t="n"/>
      <c r="AD60" s="5" t="n"/>
      <c r="AE60" s="5" t="n"/>
      <c r="AF60" s="5" t="n"/>
      <c r="AG60" s="5" t="n"/>
      <c r="AH60" s="5" t="n"/>
      <c r="AI60" s="5" t="inlineStr">
        <is>
          <t>Pizzería napolitana 100% sin gluten en Bilbao, primer local 100% GF de la cadena.</t>
        </is>
      </c>
      <c r="AJ60" s="5" t="inlineStr">
        <is>
          <t>100% gluten-free Neapolitan pizzeria in Bilbao, the chain's first 100% GF location.</t>
        </is>
      </c>
      <c r="AK60" s="5" t="inlineStr">
        <is>
          <t>100% glutenfreie neapolitanische Pizzeria in Bilbao, erste 100%-GF-Filiale der Kette.</t>
        </is>
      </c>
      <c r="AL60" s="5" t="n"/>
      <c r="AM60" s="5" t="inlineStr">
        <is>
          <t>blog_research</t>
        </is>
      </c>
      <c r="AN60" s="5" t="inlineStr">
        <is>
          <t>disfrutandosingluten.es (Stand 02/2026). NUR diese Filiale 100% GF!</t>
        </is>
      </c>
      <c r="AO60" s="5" t="inlineStr">
        <is>
          <t>2026-04-25</t>
        </is>
      </c>
      <c r="AP60" s="5" t="inlineStr">
        <is>
          <t>2026-04-25</t>
        </is>
      </c>
    </row>
    <row r="61" ht="80.09999999999999" customHeight="1">
      <c r="A61" s="5" t="inlineStr">
        <is>
          <t>es_pv_004</t>
        </is>
      </c>
      <c r="B61" s="5" t="inlineStr">
        <is>
          <t>New York Diner Bilbao</t>
        </is>
      </c>
      <c r="C61" s="5" t="inlineStr">
        <is>
          <t>new-york-diner-bilbao</t>
        </is>
      </c>
      <c r="D61" s="5" t="inlineStr">
        <is>
          <t>ES</t>
        </is>
      </c>
      <c r="E61" s="5" t="inlineStr">
        <is>
          <t>ES-PV</t>
        </is>
      </c>
      <c r="F61" s="5" t="inlineStr">
        <is>
          <t>País Vasco / Euskadi</t>
        </is>
      </c>
      <c r="G61" s="5" t="inlineStr">
        <is>
          <t>Vizcaya</t>
        </is>
      </c>
      <c r="H61" s="5" t="inlineStr">
        <is>
          <t>Bilbao</t>
        </is>
      </c>
      <c r="I61" s="5" t="inlineStr">
        <is>
          <t>San Mamés</t>
        </is>
      </c>
      <c r="J61" s="5" t="n"/>
      <c r="K61" s="5" t="n"/>
      <c r="L61" s="5" t="n">
        <v>43.263002</v>
      </c>
      <c r="M61" s="5" t="n">
        <v>-2.935004</v>
      </c>
      <c r="N61" s="5" t="inlineStr">
        <is>
          <t>restaurant</t>
        </is>
      </c>
      <c r="O61" s="5" t="inlineStr">
        <is>
          <t>internacional, hamburguesas</t>
        </is>
      </c>
      <c r="P61" s="5" t="inlineStr">
        <is>
          <t>€€</t>
        </is>
      </c>
      <c r="Q61" s="5" t="inlineStr">
        <is>
          <t>lunch, dinner</t>
        </is>
      </c>
      <c r="R61" s="6" t="inlineStr">
        <is>
          <t>pending_verification</t>
        </is>
      </c>
      <c r="S61" s="5" t="n"/>
      <c r="T61" s="5" t="n"/>
      <c r="U61" s="5" t="n"/>
      <c r="V61" s="5" t="inlineStr">
        <is>
          <t>Celiaquita: 'comiendo 100% sin gluten este es el restaurante sin gluten de Bilbao adecuado'. Nahe San Mamés-Stadion. Lieferung über Webseite. PRÜFEN: Adresse.</t>
        </is>
      </c>
      <c r="W61" s="5" t="n"/>
      <c r="X61" s="5" t="b">
        <v>0</v>
      </c>
      <c r="Y61" s="5" t="b">
        <v>0</v>
      </c>
      <c r="Z61" s="5" t="inlineStr">
        <is>
          <t>Celiacos Euskadi</t>
        </is>
      </c>
      <c r="AA61" s="5" t="n"/>
      <c r="AB61" s="5" t="n"/>
      <c r="AC61" s="5" t="n"/>
      <c r="AD61" s="5" t="n"/>
      <c r="AE61" s="5" t="n"/>
      <c r="AF61" s="5" t="n"/>
      <c r="AG61" s="5" t="n"/>
      <c r="AH61" s="5" t="n"/>
      <c r="AI61" s="5" t="inlineStr">
        <is>
          <t>Diner americano años 50 100% sin gluten cerca de San Mamés.</t>
        </is>
      </c>
      <c r="AJ61" s="5" t="inlineStr">
        <is>
          <t>American 50's-style diner, 100% gluten-free, near San Mamés stadium.</t>
        </is>
      </c>
      <c r="AK61" s="5" t="inlineStr">
        <is>
          <t>Amerikanischer 50er-Jahre-Diner, 100% glutenfrei, nahe San-Mamés-Stadion.</t>
        </is>
      </c>
      <c r="AL61" s="5" t="n"/>
      <c r="AM61" s="5" t="inlineStr">
        <is>
          <t>blog_research</t>
        </is>
      </c>
      <c r="AN61" s="5" t="inlineStr">
        <is>
          <t>celiaquita.com (Stand 01/2025)</t>
        </is>
      </c>
      <c r="AO61" s="5" t="inlineStr">
        <is>
          <t>2026-04-25</t>
        </is>
      </c>
      <c r="AP61" s="5" t="inlineStr">
        <is>
          <t>2026-04-25</t>
        </is>
      </c>
    </row>
    <row r="62" ht="80.09999999999999" customHeight="1">
      <c r="A62" s="5" t="inlineStr">
        <is>
          <t>es_pv_005</t>
        </is>
      </c>
      <c r="B62" s="5" t="inlineStr">
        <is>
          <t>Magora Bakery</t>
        </is>
      </c>
      <c r="C62" s="5" t="inlineStr">
        <is>
          <t>magora-bakery-bilbao</t>
        </is>
      </c>
      <c r="D62" s="5" t="inlineStr">
        <is>
          <t>ES</t>
        </is>
      </c>
      <c r="E62" s="5" t="inlineStr">
        <is>
          <t>ES-PV</t>
        </is>
      </c>
      <c r="F62" s="5" t="inlineStr">
        <is>
          <t>País Vasco / Euskadi</t>
        </is>
      </c>
      <c r="G62" s="5" t="inlineStr">
        <is>
          <t>Vizcaya</t>
        </is>
      </c>
      <c r="H62" s="5" t="inlineStr">
        <is>
          <t>Bilbao</t>
        </is>
      </c>
      <c r="I62" s="5" t="n"/>
      <c r="J62" s="5" t="n"/>
      <c r="K62" s="5" t="n"/>
      <c r="L62" s="5" t="n">
        <v>43.263002</v>
      </c>
      <c r="M62" s="5" t="n">
        <v>-2.935004</v>
      </c>
      <c r="N62" s="5" t="inlineStr">
        <is>
          <t>bakery</t>
        </is>
      </c>
      <c r="O62" s="5" t="inlineStr">
        <is>
          <t>saludable</t>
        </is>
      </c>
      <c r="P62" s="5" t="inlineStr">
        <is>
          <t>€€</t>
        </is>
      </c>
      <c r="Q62" s="5" t="inlineStr">
        <is>
          <t>breakfast, snacks</t>
        </is>
      </c>
      <c r="R62" s="6" t="inlineStr">
        <is>
          <t>pending_verification</t>
        </is>
      </c>
      <c r="S62" s="5" t="n"/>
      <c r="T62" s="5" t="n"/>
      <c r="U62" s="5" t="n"/>
      <c r="V62" s="5" t="inlineStr">
        <is>
          <t>Celiaquita: 'En Magora Bakery todo se prepara sin gluten... incluyendo opciones sin lactosa ni azúcar. Una de las mejores pastelerías sin gluten si buscas comprar pan sin gluten en Bilbao'. Inhaberin selbst Zöliakie-Betroffene. PRÜFEN.</t>
        </is>
      </c>
      <c r="W62" s="5" t="n"/>
      <c r="X62" s="5" t="b">
        <v>0</v>
      </c>
      <c r="Y62" s="5" t="b">
        <v>0</v>
      </c>
      <c r="Z62" s="5" t="inlineStr">
        <is>
          <t>Celiacos Euskadi</t>
        </is>
      </c>
      <c r="AA62" s="5" t="n"/>
      <c r="AB62" s="5" t="n"/>
      <c r="AC62" s="5" t="n"/>
      <c r="AD62" s="5" t="n"/>
      <c r="AE62" s="5" t="n"/>
      <c r="AF62" s="5" t="n"/>
      <c r="AG62" s="5" t="n"/>
      <c r="AH62" s="5" t="n"/>
      <c r="AI62" s="5" t="inlineStr">
        <is>
          <t>Pastelería 100% sin gluten en Bilbao con opciones sin lactosa y sin azúcar.</t>
        </is>
      </c>
      <c r="AJ62" s="5" t="inlineStr">
        <is>
          <t>100% gluten-free bakery in Bilbao with lactose-free and sugar-free options.</t>
        </is>
      </c>
      <c r="AK62" s="5" t="inlineStr">
        <is>
          <t>100% glutenfreie Bäckerei in Bilbao mit laktose- und zuckerfreien Optionen.</t>
        </is>
      </c>
      <c r="AL62" s="5" t="n"/>
      <c r="AM62" s="5" t="inlineStr">
        <is>
          <t>blog_research</t>
        </is>
      </c>
      <c r="AN62" s="5" t="inlineStr">
        <is>
          <t>celiaquita.com (Stand 10/2025)</t>
        </is>
      </c>
      <c r="AO62" s="5" t="inlineStr">
        <is>
          <t>2026-04-25</t>
        </is>
      </c>
      <c r="AP62" s="5" t="inlineStr">
        <is>
          <t>2026-04-25</t>
        </is>
      </c>
    </row>
    <row r="63" ht="80.09999999999999" customHeight="1">
      <c r="A63" s="5" t="inlineStr">
        <is>
          <t>es_pv_006</t>
        </is>
      </c>
      <c r="B63" s="5" t="inlineStr">
        <is>
          <t>GOPHY</t>
        </is>
      </c>
      <c r="C63" s="5" t="inlineStr">
        <is>
          <t>gophy-vitoria-gasteiz</t>
        </is>
      </c>
      <c r="D63" s="5" t="inlineStr">
        <is>
          <t>ES</t>
        </is>
      </c>
      <c r="E63" s="5" t="inlineStr">
        <is>
          <t>ES-PV</t>
        </is>
      </c>
      <c r="F63" s="5" t="inlineStr">
        <is>
          <t>País Vasco / Euskadi</t>
        </is>
      </c>
      <c r="G63" s="5" t="inlineStr">
        <is>
          <t>Álava</t>
        </is>
      </c>
      <c r="H63" s="5" t="inlineStr">
        <is>
          <t>Vitoria-Gasteiz</t>
        </is>
      </c>
      <c r="I63" s="5" t="inlineStr">
        <is>
          <t>Centro</t>
        </is>
      </c>
      <c r="J63" s="5" t="n"/>
      <c r="K63" s="5" t="n"/>
      <c r="L63" s="5" t="n">
        <v>42.850584</v>
      </c>
      <c r="M63" s="5" t="n">
        <v>-2.66145</v>
      </c>
      <c r="N63" s="5" t="inlineStr">
        <is>
          <t>bakery</t>
        </is>
      </c>
      <c r="O63" s="5" t="inlineStr">
        <is>
          <t>saludable</t>
        </is>
      </c>
      <c r="P63" s="5" t="inlineStr">
        <is>
          <t>€€</t>
        </is>
      </c>
      <c r="Q63" s="5" t="inlineStr">
        <is>
          <t>breakfast, snacks</t>
        </is>
      </c>
      <c r="R63" s="6" t="inlineStr">
        <is>
          <t>pending_verification</t>
        </is>
      </c>
      <c r="S63" s="5" t="n"/>
      <c r="T63" s="5" t="n"/>
      <c r="U63" s="5" t="n"/>
      <c r="V63" s="5" t="inlineStr">
        <is>
          <t>Celiaquita TOP-Empfehlung: 'obrador artesano 100% exclusivo sin gluten que se encuentra en el centro de Gasteiz. Realizan elaboraciones sin azúcar... y también sin lactosa o veganas'. PRÜFEN: Adresse.</t>
        </is>
      </c>
      <c r="W63" s="5" t="n"/>
      <c r="X63" s="5" t="b">
        <v>0</v>
      </c>
      <c r="Y63" s="5" t="b">
        <v>0</v>
      </c>
      <c r="Z63" s="5" t="inlineStr">
        <is>
          <t>Celiacos Euskadi</t>
        </is>
      </c>
      <c r="AA63" s="5" t="n"/>
      <c r="AB63" s="5" t="n"/>
      <c r="AC63" s="5" t="n"/>
      <c r="AD63" s="5" t="n"/>
      <c r="AE63" s="5" t="n"/>
      <c r="AF63" s="5" t="n"/>
      <c r="AG63" s="5" t="n"/>
      <c r="AH63" s="5" t="n"/>
      <c r="AI63" s="5" t="inlineStr">
        <is>
          <t>Obrador artesano 100% sin gluten en Vitoria-Gasteiz, también sin azúcar y opciones veganas.</t>
        </is>
      </c>
      <c r="AJ63" s="5" t="inlineStr">
        <is>
          <t>Artisan 100% gluten-free bakery in Vitoria-Gasteiz, also sugar-free and vegan options.</t>
        </is>
      </c>
      <c r="AK63" s="5" t="inlineStr">
        <is>
          <t>Handwerkliche 100% glutenfreie Bäckerei in Vitoria-Gasteiz, auch zuckerfrei und vegan.</t>
        </is>
      </c>
      <c r="AL63" s="5" t="n"/>
      <c r="AM63" s="5" t="inlineStr">
        <is>
          <t>blog_research</t>
        </is>
      </c>
      <c r="AN63" s="5" t="inlineStr">
        <is>
          <t>celiaquita.com (Stand 10/2025) — TOP-Empfehlung</t>
        </is>
      </c>
      <c r="AO63" s="5" t="inlineStr">
        <is>
          <t>2026-04-25</t>
        </is>
      </c>
      <c r="AP63" s="5" t="inlineStr">
        <is>
          <t>2026-04-25</t>
        </is>
      </c>
    </row>
    <row r="64" ht="80.09999999999999" customHeight="1">
      <c r="A64" s="5" t="inlineStr">
        <is>
          <t>es_pv_007</t>
        </is>
      </c>
      <c r="B64" s="5" t="inlineStr">
        <is>
          <t>Casa Leotta (Pinsas)</t>
        </is>
      </c>
      <c r="C64" s="5" t="inlineStr">
        <is>
          <t>casa-leotta-bilbao</t>
        </is>
      </c>
      <c r="D64" s="5" t="inlineStr">
        <is>
          <t>ES</t>
        </is>
      </c>
      <c r="E64" s="5" t="inlineStr">
        <is>
          <t>ES-PV</t>
        </is>
      </c>
      <c r="F64" s="5" t="inlineStr">
        <is>
          <t>País Vasco / Euskadi</t>
        </is>
      </c>
      <c r="G64" s="5" t="inlineStr">
        <is>
          <t>Vizcaya</t>
        </is>
      </c>
      <c r="H64" s="5" t="inlineStr">
        <is>
          <t>Bilbao</t>
        </is>
      </c>
      <c r="I64" s="5" t="n"/>
      <c r="J64" s="5" t="n"/>
      <c r="K64" s="5" t="n"/>
      <c r="L64" s="5" t="n">
        <v>43.263002</v>
      </c>
      <c r="M64" s="5" t="n">
        <v>-2.935004</v>
      </c>
      <c r="N64" s="5" t="inlineStr">
        <is>
          <t>pizzeria</t>
        </is>
      </c>
      <c r="O64" s="5" t="inlineStr">
        <is>
          <t>italiana, pizzas</t>
        </is>
      </c>
      <c r="P64" s="5" t="inlineStr">
        <is>
          <t>€€</t>
        </is>
      </c>
      <c r="Q64" s="5" t="inlineStr">
        <is>
          <t>lunch, dinner</t>
        </is>
      </c>
      <c r="R64" s="6" t="inlineStr">
        <is>
          <t>pending_verification</t>
        </is>
      </c>
      <c r="S64" s="5" t="n"/>
      <c r="T64" s="5" t="n"/>
      <c r="U64" s="5" t="n"/>
      <c r="V64" s="5" t="inlineStr">
        <is>
          <t>Disfrutando sin Gluten: 'Casa Leotta. Con tres establecimientos, dos en Bilbao y otro en Getxo, son especialistas en pinsas (pizzas cuadradas). Asesorados por la asociación, es uno de los más recomendados'. UNKLAR ob 100% GF — Klärungsbedarf!</t>
        </is>
      </c>
      <c r="W64" s="5" t="n"/>
      <c r="X64" s="5" t="b">
        <v>0</v>
      </c>
      <c r="Y64" s="5" t="b">
        <v>0</v>
      </c>
      <c r="Z64" s="5" t="inlineStr">
        <is>
          <t>Celiacos Euskadi</t>
        </is>
      </c>
      <c r="AA64" s="5" t="n"/>
      <c r="AB64" s="5" t="n"/>
      <c r="AC64" s="5" t="n"/>
      <c r="AD64" s="5" t="n"/>
      <c r="AE64" s="5" t="n"/>
      <c r="AF64" s="5" t="n"/>
      <c r="AG64" s="5" t="n"/>
      <c r="AH64" s="5" t="n"/>
      <c r="AI64" s="5" t="n"/>
      <c r="AJ64" s="5" t="n"/>
      <c r="AK64" s="5" t="n"/>
      <c r="AL64" s="5" t="n"/>
      <c r="AM64" s="5" t="inlineStr">
        <is>
          <t>blog_research</t>
        </is>
      </c>
      <c r="AN64" s="5" t="inlineStr">
        <is>
          <t>disfrutandosingluten.es (Stand 02/2026) — Status 100% UNKLAR</t>
        </is>
      </c>
      <c r="AO64" s="5" t="inlineStr">
        <is>
          <t>2026-04-25</t>
        </is>
      </c>
      <c r="AP64" s="5" t="inlineStr">
        <is>
          <t>2026-04-25</t>
        </is>
      </c>
    </row>
    <row r="65" ht="80.09999999999999" customHeight="1">
      <c r="A65" s="5" t="inlineStr">
        <is>
          <t>es_pv_008</t>
        </is>
      </c>
      <c r="B65" s="5" t="inlineStr">
        <is>
          <t>Naked &amp; Sated San Sebastián</t>
        </is>
      </c>
      <c r="C65" s="5" t="inlineStr">
        <is>
          <t>naked-sated-san-sebastian</t>
        </is>
      </c>
      <c r="D65" s="5" t="inlineStr">
        <is>
          <t>ES</t>
        </is>
      </c>
      <c r="E65" s="5" t="inlineStr">
        <is>
          <t>ES-PV</t>
        </is>
      </c>
      <c r="F65" s="5" t="inlineStr">
        <is>
          <t>País Vasco / Euskadi</t>
        </is>
      </c>
      <c r="G65" s="5" t="inlineStr">
        <is>
          <t>Guipúzcoa</t>
        </is>
      </c>
      <c r="H65" s="5" t="inlineStr">
        <is>
          <t>San Sebastián / Donostia</t>
        </is>
      </c>
      <c r="I65" s="5" t="n"/>
      <c r="J65" s="5" t="n"/>
      <c r="K65" s="5" t="n"/>
      <c r="L65" s="5" t="n">
        <v>43.320769</v>
      </c>
      <c r="M65" s="5" t="n">
        <v>-1.97929</v>
      </c>
      <c r="N65" s="5" t="inlineStr">
        <is>
          <t>restaurant</t>
        </is>
      </c>
      <c r="O65" s="5" t="inlineStr">
        <is>
          <t>saludable, hamburguesas, pizzas</t>
        </is>
      </c>
      <c r="P65" s="5" t="inlineStr">
        <is>
          <t>€€</t>
        </is>
      </c>
      <c r="Q65" s="5" t="inlineStr">
        <is>
          <t>brunch, lunch, dinner</t>
        </is>
      </c>
      <c r="R65" s="6" t="inlineStr">
        <is>
          <t>pending_verification</t>
        </is>
      </c>
      <c r="S65" s="5" t="n"/>
      <c r="T65" s="5" t="n"/>
      <c r="U65" s="5" t="n"/>
      <c r="V65" s="5" t="inlineStr">
        <is>
          <t>PRÜFEN: Hat Naked &amp; Sated tatsächlich einen Standort in San Sebastián? Quellen erwähnen Madrid, Valencia, Bilbao — Donostia ungewiss. Möglicherweise nicht zutreffend.</t>
        </is>
      </c>
      <c r="W65" s="5" t="n"/>
      <c r="X65" s="5" t="b">
        <v>0</v>
      </c>
      <c r="Y65" s="5" t="b">
        <v>0</v>
      </c>
      <c r="Z65" s="5" t="inlineStr">
        <is>
          <t>Celiacos Euskadi</t>
        </is>
      </c>
      <c r="AA65" s="5" t="n"/>
      <c r="AB65" s="5" t="n"/>
      <c r="AC65" s="5" t="n"/>
      <c r="AD65" s="5" t="n"/>
      <c r="AE65" s="5" t="n"/>
      <c r="AF65" s="5" t="n"/>
      <c r="AG65" s="5" t="n"/>
      <c r="AH65" s="5" t="n"/>
      <c r="AI65" s="5" t="n"/>
      <c r="AJ65" s="5" t="n"/>
      <c r="AK65" s="5" t="n"/>
      <c r="AL65" s="5" t="n"/>
      <c r="AM65" s="5" t="inlineStr">
        <is>
          <t>blog_research</t>
        </is>
      </c>
      <c r="AN65" s="5" t="inlineStr">
        <is>
          <t>Vermutung — UNGEWISS ob Standort existiert. Sorgfältig prüfen!</t>
        </is>
      </c>
      <c r="AO65" s="5" t="inlineStr">
        <is>
          <t>2026-04-25</t>
        </is>
      </c>
      <c r="AP65" s="5" t="inlineStr">
        <is>
          <t>2026-04-25</t>
        </is>
      </c>
    </row>
    <row r="66" ht="80.09999999999999" customHeight="1">
      <c r="A66" s="5" t="inlineStr">
        <is>
          <t>es_ga_001</t>
        </is>
      </c>
      <c r="B66" s="5" t="inlineStr">
        <is>
          <t>Alium Vigo</t>
        </is>
      </c>
      <c r="C66" s="5" t="inlineStr">
        <is>
          <t>alium-vigo</t>
        </is>
      </c>
      <c r="D66" s="5" t="inlineStr">
        <is>
          <t>ES</t>
        </is>
      </c>
      <c r="E66" s="5" t="inlineStr">
        <is>
          <t>ES-GA</t>
        </is>
      </c>
      <c r="F66" s="5" t="inlineStr">
        <is>
          <t>Galicia</t>
        </is>
      </c>
      <c r="G66" s="5" t="inlineStr">
        <is>
          <t>Pontevedra</t>
        </is>
      </c>
      <c r="H66" s="5" t="inlineStr">
        <is>
          <t>Vigo</t>
        </is>
      </c>
      <c r="I66" s="5" t="inlineStr">
        <is>
          <t>Centro</t>
        </is>
      </c>
      <c r="J66" s="5" t="n"/>
      <c r="K66" s="5" t="n"/>
      <c r="L66" s="5" t="n">
        <v>42.198639</v>
      </c>
      <c r="M66" s="5" t="n">
        <v>-8.727956000000001</v>
      </c>
      <c r="N66" s="5" t="inlineStr">
        <is>
          <t>restaurant</t>
        </is>
      </c>
      <c r="O66" s="5" t="inlineStr">
        <is>
          <t>internacional, mediterranea, asiatica, mexicana, vegana</t>
        </is>
      </c>
      <c r="P66" s="5" t="inlineStr">
        <is>
          <t>€€</t>
        </is>
      </c>
      <c r="Q66" s="5" t="inlineStr">
        <is>
          <t>lunch, dinner</t>
        </is>
      </c>
      <c r="R66" s="6" t="inlineStr">
        <is>
          <t>pending_verification</t>
        </is>
      </c>
      <c r="S66" s="5" t="n"/>
      <c r="T66" s="5" t="n"/>
      <c r="U66" s="5" t="n"/>
      <c r="V66" s="5" t="inlineStr">
        <is>
          <t>Eigene Webseite + Disfrutando sin Gluten: 'Único restaurante 100% sin gluten de la ciudad'. ACEGA-zertifiziert. Pet-friendly. Cocina de fusión (mediterránea, asiática, mexicana). Eigene Lieferung 4€. PRÜFEN: Adresse, aktuell.</t>
        </is>
      </c>
      <c r="W66" s="5" t="n"/>
      <c r="X66" s="5" t="b">
        <v>0</v>
      </c>
      <c r="Y66" s="5" t="b">
        <v>0</v>
      </c>
      <c r="Z66" s="5" t="inlineStr">
        <is>
          <t>ACEGA</t>
        </is>
      </c>
      <c r="AA66" s="5" t="inlineStr">
        <is>
          <t>+34697883367</t>
        </is>
      </c>
      <c r="AB66" s="5" t="inlineStr">
        <is>
          <t>+34697883367</t>
        </is>
      </c>
      <c r="AC66" s="5" t="n"/>
      <c r="AD66" s="5" t="inlineStr">
        <is>
          <t>https://aliumglutenfree.com</t>
        </is>
      </c>
      <c r="AE66" s="5" t="n"/>
      <c r="AF66" s="5" t="n"/>
      <c r="AG66" s="5" t="n"/>
      <c r="AH66" s="5" t="n"/>
      <c r="AI66" s="5" t="inlineStr">
        <is>
          <t>Único restaurante 100% sin gluten de Vigo. Cocina de fusión mediterránea, asiática y mexicana. Pet-friendly.</t>
        </is>
      </c>
      <c r="AJ66" s="5" t="inlineStr">
        <is>
          <t>Vigo's only 100% gluten-free restaurant. Mediterranean, Asian and Mexican fusion. Pet-friendly.</t>
        </is>
      </c>
      <c r="AK66" s="5" t="inlineStr">
        <is>
          <t>Vigos einziges 100% glutenfreies Restaurant. Mediterrane, asiatische und mexikanische Fusionsküche. Pet-friendly.</t>
        </is>
      </c>
      <c r="AL66" s="5" t="n"/>
      <c r="AM66" s="5" t="inlineStr">
        <is>
          <t>official_website</t>
        </is>
      </c>
      <c r="AN66" s="5" t="inlineStr">
        <is>
          <t>aliumglutenfree.com + disfrutandosingluten.es (Stand 03/2026)</t>
        </is>
      </c>
      <c r="AO66" s="5" t="inlineStr">
        <is>
          <t>2026-04-25</t>
        </is>
      </c>
      <c r="AP66" s="5" t="inlineStr">
        <is>
          <t>2026-04-25</t>
        </is>
      </c>
    </row>
    <row r="67" ht="80.09999999999999" customHeight="1">
      <c r="A67" s="5" t="inlineStr">
        <is>
          <t>es_ga_002</t>
        </is>
      </c>
      <c r="B67" s="5" t="inlineStr">
        <is>
          <t>Celidulce</t>
        </is>
      </c>
      <c r="C67" s="5" t="inlineStr">
        <is>
          <t>celidulce-vigo</t>
        </is>
      </c>
      <c r="D67" s="5" t="inlineStr">
        <is>
          <t>ES</t>
        </is>
      </c>
      <c r="E67" s="5" t="inlineStr">
        <is>
          <t>ES-GA</t>
        </is>
      </c>
      <c r="F67" s="5" t="inlineStr">
        <is>
          <t>Galicia</t>
        </is>
      </c>
      <c r="G67" s="5" t="inlineStr">
        <is>
          <t>Pontevedra</t>
        </is>
      </c>
      <c r="H67" s="5" t="inlineStr">
        <is>
          <t>Vigo</t>
        </is>
      </c>
      <c r="I67" s="5" t="n"/>
      <c r="J67" s="5" t="n"/>
      <c r="K67" s="5" t="n"/>
      <c r="L67" s="5" t="n">
        <v>42.198639</v>
      </c>
      <c r="M67" s="5" t="n">
        <v>-8.727956000000001</v>
      </c>
      <c r="N67" s="5" t="inlineStr">
        <is>
          <t>bakery</t>
        </is>
      </c>
      <c r="O67" s="5" t="inlineStr">
        <is>
          <t>saludable</t>
        </is>
      </c>
      <c r="P67" s="5" t="inlineStr">
        <is>
          <t>€€</t>
        </is>
      </c>
      <c r="Q67" s="5" t="inlineStr">
        <is>
          <t>snacks</t>
        </is>
      </c>
      <c r="R67" s="6" t="inlineStr">
        <is>
          <t>pending_verification</t>
        </is>
      </c>
      <c r="S67" s="5" t="n"/>
      <c r="T67" s="5" t="n"/>
      <c r="U67" s="5" t="n"/>
      <c r="V67" s="5" t="inlineStr">
        <is>
          <t>Disfrutando sin Gluten: 'Obrador artesano con productos dulces y salados... 100% sin gluten... avalado por ACEGA'. Versand in ganz Spanien. PRÜFEN: Adresse.</t>
        </is>
      </c>
      <c r="W67" s="5" t="n"/>
      <c r="X67" s="5" t="b">
        <v>0</v>
      </c>
      <c r="Y67" s="5" t="b">
        <v>0</v>
      </c>
      <c r="Z67" s="5" t="inlineStr">
        <is>
          <t>ACEGA</t>
        </is>
      </c>
      <c r="AA67" s="5" t="n"/>
      <c r="AB67" s="5" t="n"/>
      <c r="AC67" s="5" t="n"/>
      <c r="AD67" s="5" t="n"/>
      <c r="AE67" s="5" t="n"/>
      <c r="AF67" s="5" t="n"/>
      <c r="AG67" s="5" t="n"/>
      <c r="AH67" s="5" t="n"/>
      <c r="AI67" s="5" t="inlineStr">
        <is>
          <t>Obrador artesano 100% sin gluten en Vigo, productos dulces y salados, envíos a toda España.</t>
        </is>
      </c>
      <c r="AJ67" s="5" t="inlineStr">
        <is>
          <t>100% gluten-free artisan bakery in Vigo, sweet and savory products, ships across Spain.</t>
        </is>
      </c>
      <c r="AK67" s="5" t="inlineStr">
        <is>
          <t>100% glutenfreie Handwerksbäckerei in Vigo, süß und herzhaft, Versand in ganz Spanien.</t>
        </is>
      </c>
      <c r="AL67" s="5" t="n"/>
      <c r="AM67" s="5" t="inlineStr">
        <is>
          <t>regional_association</t>
        </is>
      </c>
      <c r="AN67" s="5" t="inlineStr">
        <is>
          <t>disfrutandosingluten.es + ACEGA (Stand 03/2026)</t>
        </is>
      </c>
      <c r="AO67" s="5" t="inlineStr">
        <is>
          <t>2026-04-25</t>
        </is>
      </c>
      <c r="AP67" s="5" t="inlineStr">
        <is>
          <t>2026-04-25</t>
        </is>
      </c>
    </row>
    <row r="68" ht="80.09999999999999" customHeight="1">
      <c r="A68" s="5" t="inlineStr">
        <is>
          <t>es_ga_003</t>
        </is>
      </c>
      <c r="B68" s="5" t="inlineStr">
        <is>
          <t>Pan para Todos</t>
        </is>
      </c>
      <c r="C68" s="5" t="inlineStr">
        <is>
          <t>pan-para-todos-vigo</t>
        </is>
      </c>
      <c r="D68" s="5" t="inlineStr">
        <is>
          <t>ES</t>
        </is>
      </c>
      <c r="E68" s="5" t="inlineStr">
        <is>
          <t>ES-GA</t>
        </is>
      </c>
      <c r="F68" s="5" t="inlineStr">
        <is>
          <t>Galicia</t>
        </is>
      </c>
      <c r="G68" s="5" t="inlineStr">
        <is>
          <t>Pontevedra</t>
        </is>
      </c>
      <c r="H68" s="5" t="inlineStr">
        <is>
          <t>Vigo</t>
        </is>
      </c>
      <c r="I68" s="5" t="n"/>
      <c r="J68" s="5" t="n"/>
      <c r="K68" s="5" t="n"/>
      <c r="L68" s="5" t="n">
        <v>42.198639</v>
      </c>
      <c r="M68" s="5" t="n">
        <v>-8.727956000000001</v>
      </c>
      <c r="N68" s="5" t="inlineStr">
        <is>
          <t>bakery</t>
        </is>
      </c>
      <c r="O68" s="5" t="inlineStr">
        <is>
          <t>saludable</t>
        </is>
      </c>
      <c r="P68" s="5" t="inlineStr">
        <is>
          <t>€€</t>
        </is>
      </c>
      <c r="Q68" s="5" t="inlineStr">
        <is>
          <t>breakfast, snacks</t>
        </is>
      </c>
      <c r="R68" s="6" t="inlineStr">
        <is>
          <t>pending_verification</t>
        </is>
      </c>
      <c r="S68" s="5" t="n"/>
      <c r="T68" s="5" t="n"/>
      <c r="U68" s="5" t="n"/>
      <c r="V68" s="5" t="inlineStr">
        <is>
          <t>Disfrutando sin Gluten: 'Obrador de productos sin gluten especialistas en pan. Hacen empanadas y tienen envíos a toda la península'. ACEGA-zertifiziert. PRÜFEN.</t>
        </is>
      </c>
      <c r="W68" s="5" t="n"/>
      <c r="X68" s="5" t="b">
        <v>0</v>
      </c>
      <c r="Y68" s="5" t="b">
        <v>0</v>
      </c>
      <c r="Z68" s="5" t="inlineStr">
        <is>
          <t>ACEGA</t>
        </is>
      </c>
      <c r="AA68" s="5" t="n"/>
      <c r="AB68" s="5" t="n"/>
      <c r="AC68" s="5" t="n"/>
      <c r="AD68" s="5" t="n"/>
      <c r="AE68" s="5" t="n"/>
      <c r="AF68" s="5" t="n"/>
      <c r="AG68" s="5" t="n"/>
      <c r="AH68" s="5" t="n"/>
      <c r="AI68" s="5" t="inlineStr">
        <is>
          <t>Obrador 100% sin gluten en Vigo especializado en pan y empanadas.</t>
        </is>
      </c>
      <c r="AJ68" s="5" t="inlineStr">
        <is>
          <t>100% gluten-free bakery in Vigo specialized in bread and empanadas.</t>
        </is>
      </c>
      <c r="AK68" s="5" t="inlineStr">
        <is>
          <t>100% glutenfreie Bäckerei in Vigo, spezialisiert auf Brot und Empanadas.</t>
        </is>
      </c>
      <c r="AL68" s="5" t="n"/>
      <c r="AM68" s="5" t="inlineStr">
        <is>
          <t>regional_association</t>
        </is>
      </c>
      <c r="AN68" s="5" t="inlineStr">
        <is>
          <t>disfrutandosingluten.es + ACEGA (Stand 03/2026)</t>
        </is>
      </c>
      <c r="AO68" s="5" t="inlineStr">
        <is>
          <t>2026-04-25</t>
        </is>
      </c>
      <c r="AP68" s="5" t="inlineStr">
        <is>
          <t>2026-04-25</t>
        </is>
      </c>
    </row>
    <row r="69" ht="80.09999999999999" customHeight="1">
      <c r="A69" s="5" t="inlineStr">
        <is>
          <t>es_ga_004</t>
        </is>
      </c>
      <c r="B69" s="5" t="inlineStr">
        <is>
          <t>D'Sonia Bakery</t>
        </is>
      </c>
      <c r="C69" s="5" t="inlineStr">
        <is>
          <t>dsonia-bakery-vigo</t>
        </is>
      </c>
      <c r="D69" s="5" t="inlineStr">
        <is>
          <t>ES</t>
        </is>
      </c>
      <c r="E69" s="5" t="inlineStr">
        <is>
          <t>ES-GA</t>
        </is>
      </c>
      <c r="F69" s="5" t="inlineStr">
        <is>
          <t>Galicia</t>
        </is>
      </c>
      <c r="G69" s="5" t="inlineStr">
        <is>
          <t>Pontevedra</t>
        </is>
      </c>
      <c r="H69" s="5" t="inlineStr">
        <is>
          <t>Vigo</t>
        </is>
      </c>
      <c r="I69" s="5" t="n"/>
      <c r="J69" s="5" t="n"/>
      <c r="K69" s="5" t="n"/>
      <c r="L69" s="5" t="n">
        <v>42.198639</v>
      </c>
      <c r="M69" s="5" t="n">
        <v>-8.727956000000001</v>
      </c>
      <c r="N69" s="5" t="inlineStr">
        <is>
          <t>bakery</t>
        </is>
      </c>
      <c r="O69" s="5" t="inlineStr">
        <is>
          <t>saludable</t>
        </is>
      </c>
      <c r="P69" s="5" t="inlineStr">
        <is>
          <t>€€</t>
        </is>
      </c>
      <c r="Q69" s="5" t="inlineStr">
        <is>
          <t>breakfast, snacks</t>
        </is>
      </c>
      <c r="R69" s="6" t="inlineStr">
        <is>
          <t>pending_verification</t>
        </is>
      </c>
      <c r="S69" s="5" t="n"/>
      <c r="T69" s="5" t="n"/>
      <c r="U69" s="5" t="n"/>
      <c r="V69" s="5" t="inlineStr">
        <is>
          <t>Disfrutando sin Gluten: 'Pequeño obrador 100% sin gluten especializados en pan'. PRÜFEN: Adresse.</t>
        </is>
      </c>
      <c r="W69" s="5" t="n"/>
      <c r="X69" s="5" t="b">
        <v>0</v>
      </c>
      <c r="Y69" s="5" t="b">
        <v>0</v>
      </c>
      <c r="Z69" s="5" t="inlineStr">
        <is>
          <t>ACEGA</t>
        </is>
      </c>
      <c r="AA69" s="5" t="n"/>
      <c r="AB69" s="5" t="n"/>
      <c r="AC69" s="5" t="n"/>
      <c r="AD69" s="5" t="n"/>
      <c r="AE69" s="5" t="n"/>
      <c r="AF69" s="5" t="n"/>
      <c r="AG69" s="5" t="n"/>
      <c r="AH69" s="5" t="n"/>
      <c r="AI69" s="5" t="inlineStr">
        <is>
          <t>Pequeño obrador 100% sin gluten especializado en pan en Vigo.</t>
        </is>
      </c>
      <c r="AJ69" s="5" t="inlineStr">
        <is>
          <t>Small 100% gluten-free bakery specialized in bread, in Vigo.</t>
        </is>
      </c>
      <c r="AK69" s="5" t="inlineStr">
        <is>
          <t>Kleine 100% glutenfreie Bäckerei mit Spezialisierung auf Brot in Vigo.</t>
        </is>
      </c>
      <c r="AL69" s="5" t="n"/>
      <c r="AM69" s="5" t="inlineStr">
        <is>
          <t>blog_research</t>
        </is>
      </c>
      <c r="AN69" s="5" t="inlineStr">
        <is>
          <t>disfrutandosingluten.es</t>
        </is>
      </c>
      <c r="AO69" s="5" t="inlineStr">
        <is>
          <t>2026-04-25</t>
        </is>
      </c>
      <c r="AP69" s="5" t="inlineStr">
        <is>
          <t>2026-04-25</t>
        </is>
      </c>
    </row>
    <row r="70" ht="80.09999999999999" customHeight="1">
      <c r="A70" s="5" t="inlineStr">
        <is>
          <t>es_ga_005</t>
        </is>
      </c>
      <c r="B70" s="5" t="inlineStr">
        <is>
          <t>Le Coq Santiago Gastro Café</t>
        </is>
      </c>
      <c r="C70" s="5" t="inlineStr">
        <is>
          <t>le-coq-santiago</t>
        </is>
      </c>
      <c r="D70" s="5" t="inlineStr">
        <is>
          <t>ES</t>
        </is>
      </c>
      <c r="E70" s="5" t="inlineStr">
        <is>
          <t>ES-GA</t>
        </is>
      </c>
      <c r="F70" s="5" t="inlineStr">
        <is>
          <t>Galicia</t>
        </is>
      </c>
      <c r="G70" s="5" t="inlineStr">
        <is>
          <t>A Coruña</t>
        </is>
      </c>
      <c r="H70" s="5" t="inlineStr">
        <is>
          <t>Santiago de Compostela</t>
        </is>
      </c>
      <c r="I70" s="5" t="n"/>
      <c r="J70" s="5" t="n"/>
      <c r="K70" s="5" t="n"/>
      <c r="L70" s="5" t="n">
        <v>42.906458</v>
      </c>
      <c r="M70" s="5" t="n">
        <v>-8.519297999999999</v>
      </c>
      <c r="N70" s="5" t="inlineStr">
        <is>
          <t>restaurant</t>
        </is>
      </c>
      <c r="O70" s="5" t="inlineStr">
        <is>
          <t>internacional, hamburguesas</t>
        </is>
      </c>
      <c r="P70" s="5" t="inlineStr">
        <is>
          <t>€€</t>
        </is>
      </c>
      <c r="Q70" s="5" t="inlineStr">
        <is>
          <t>lunch, dinner</t>
        </is>
      </c>
      <c r="R70" s="6" t="inlineStr">
        <is>
          <t>pending_verification</t>
        </is>
      </c>
      <c r="S70" s="5" t="n"/>
      <c r="T70" s="5" t="n"/>
      <c r="U70" s="5" t="n"/>
      <c r="V70" s="5" t="inlineStr">
        <is>
          <t>El Correo Gallego: 'carta exclusiva para celíacos. ideal para amantes del pollo'. Celinews: 'Restaurante con una carta independiente 100% sin gluten especializado en pollo'. UNKLAR: ist es Mischbetrieb mit 100%-GF-Karte oder komplettes 100%-GF-Lokal? KLÄRUNGSBEDARF.</t>
        </is>
      </c>
      <c r="W70" s="5" t="n"/>
      <c r="X70" s="5" t="b">
        <v>0</v>
      </c>
      <c r="Y70" s="5" t="b">
        <v>0</v>
      </c>
      <c r="Z70" s="5" t="inlineStr">
        <is>
          <t>ACEGA</t>
        </is>
      </c>
      <c r="AA70" s="5" t="n"/>
      <c r="AB70" s="5" t="n"/>
      <c r="AC70" s="5" t="n"/>
      <c r="AD70" s="5" t="n"/>
      <c r="AE70" s="5" t="n"/>
      <c r="AF70" s="5" t="n"/>
      <c r="AG70" s="5" t="n"/>
      <c r="AH70" s="5" t="n"/>
      <c r="AI70" s="5" t="n"/>
      <c r="AJ70" s="5" t="n"/>
      <c r="AK70" s="5" t="n"/>
      <c r="AL70" s="5" t="n"/>
      <c r="AM70" s="5" t="inlineStr">
        <is>
          <t>blog_research</t>
        </is>
      </c>
      <c r="AN70" s="5" t="inlineStr">
        <is>
          <t>elcorreogallego.es + celinews.com — Status 100% UNKLAR</t>
        </is>
      </c>
      <c r="AO70" s="5" t="inlineStr">
        <is>
          <t>2026-04-25</t>
        </is>
      </c>
      <c r="AP70" s="5" t="inlineStr">
        <is>
          <t>2026-04-25</t>
        </is>
      </c>
    </row>
    <row r="71" ht="80.09999999999999" customHeight="1">
      <c r="A71" s="5" t="inlineStr">
        <is>
          <t>es_ga_006</t>
        </is>
      </c>
      <c r="B71" s="5" t="inlineStr">
        <is>
          <t>Cafetería Chusca</t>
        </is>
      </c>
      <c r="C71" s="5" t="inlineStr">
        <is>
          <t>cafeteria-chusca-santiago</t>
        </is>
      </c>
      <c r="D71" s="5" t="inlineStr">
        <is>
          <t>ES</t>
        </is>
      </c>
      <c r="E71" s="5" t="inlineStr">
        <is>
          <t>ES-GA</t>
        </is>
      </c>
      <c r="F71" s="5" t="inlineStr">
        <is>
          <t>Galicia</t>
        </is>
      </c>
      <c r="G71" s="5" t="inlineStr">
        <is>
          <t>A Coruña</t>
        </is>
      </c>
      <c r="H71" s="5" t="inlineStr">
        <is>
          <t>Santiago de Compostela</t>
        </is>
      </c>
      <c r="I71" s="5" t="n"/>
      <c r="J71" s="5" t="n"/>
      <c r="K71" s="5" t="n"/>
      <c r="L71" s="5" t="n">
        <v>42.906458</v>
      </c>
      <c r="M71" s="5" t="n">
        <v>-8.519297999999999</v>
      </c>
      <c r="N71" s="5" t="inlineStr">
        <is>
          <t>cafe</t>
        </is>
      </c>
      <c r="O71" s="5" t="inlineStr">
        <is>
          <t>saludable, vegana</t>
        </is>
      </c>
      <c r="P71" s="5" t="inlineStr">
        <is>
          <t>€€</t>
        </is>
      </c>
      <c r="Q71" s="5" t="inlineStr">
        <is>
          <t>breakfast, brunch, snacks</t>
        </is>
      </c>
      <c r="R71" s="6" t="inlineStr">
        <is>
          <t>pending_verification</t>
        </is>
      </c>
      <c r="S71" s="5" t="n"/>
      <c r="T71" s="5" t="n"/>
      <c r="U71" s="5" t="n"/>
      <c r="V71" s="5" t="inlineStr">
        <is>
          <t>El Correo Gallego: 'Cafetería con dulces y salados caseros... opciones veganas, vegetarianas, aptas para intolerantes a la lactosa y para celíacos'. UNKLAR ob 100% GF. KLÄRUNGSBEDARF.</t>
        </is>
      </c>
      <c r="W71" s="5" t="n"/>
      <c r="X71" s="5" t="b">
        <v>0</v>
      </c>
      <c r="Y71" s="5" t="b">
        <v>0</v>
      </c>
      <c r="Z71" s="5" t="n"/>
      <c r="AA71" s="5" t="n"/>
      <c r="AB71" s="5" t="n"/>
      <c r="AC71" s="5" t="n"/>
      <c r="AD71" s="5" t="n"/>
      <c r="AE71" s="5" t="n"/>
      <c r="AF71" s="5" t="n"/>
      <c r="AG71" s="5" t="n"/>
      <c r="AH71" s="5" t="n"/>
      <c r="AI71" s="5" t="n"/>
      <c r="AJ71" s="5" t="n"/>
      <c r="AK71" s="5" t="n"/>
      <c r="AL71" s="5" t="n"/>
      <c r="AM71" s="5" t="inlineStr">
        <is>
          <t>blog_research</t>
        </is>
      </c>
      <c r="AN71" s="5" t="inlineStr">
        <is>
          <t>elcorreogallego.es — Status 100% UNKLAR</t>
        </is>
      </c>
      <c r="AO71" s="5" t="inlineStr">
        <is>
          <t>2026-04-25</t>
        </is>
      </c>
      <c r="AP71" s="5" t="inlineStr">
        <is>
          <t>2026-04-25</t>
        </is>
      </c>
    </row>
    <row r="72" ht="80.09999999999999" customHeight="1">
      <c r="A72" s="5" t="inlineStr">
        <is>
          <t>es_ga_007</t>
        </is>
      </c>
      <c r="B72" s="5" t="inlineStr">
        <is>
          <t>Bico de Xeado (Heladería)</t>
        </is>
      </c>
      <c r="C72" s="5" t="inlineStr">
        <is>
          <t>bico-de-xeado-galicia</t>
        </is>
      </c>
      <c r="D72" s="5" t="inlineStr">
        <is>
          <t>ES</t>
        </is>
      </c>
      <c r="E72" s="5" t="inlineStr">
        <is>
          <t>ES-GA</t>
        </is>
      </c>
      <c r="F72" s="5" t="inlineStr">
        <is>
          <t>Galicia</t>
        </is>
      </c>
      <c r="G72" s="5" t="inlineStr">
        <is>
          <t>Pontevedra</t>
        </is>
      </c>
      <c r="H72" s="5" t="inlineStr">
        <is>
          <t>Vigo</t>
        </is>
      </c>
      <c r="I72" s="5" t="n"/>
      <c r="J72" s="5" t="n"/>
      <c r="K72" s="5" t="n"/>
      <c r="L72" s="5" t="n">
        <v>42.198639</v>
      </c>
      <c r="M72" s="5" t="n">
        <v>-8.727956000000001</v>
      </c>
      <c r="N72" s="5" t="inlineStr">
        <is>
          <t>ice_cream</t>
        </is>
      </c>
      <c r="O72" s="5" t="inlineStr">
        <is>
          <t>saludable</t>
        </is>
      </c>
      <c r="P72" s="5" t="inlineStr">
        <is>
          <t>€</t>
        </is>
      </c>
      <c r="Q72" s="5" t="inlineStr">
        <is>
          <t>snacks</t>
        </is>
      </c>
      <c r="R72" s="6" t="inlineStr">
        <is>
          <t>pending_verification</t>
        </is>
      </c>
      <c r="S72" s="5" t="n"/>
      <c r="T72" s="5" t="n"/>
      <c r="U72" s="5" t="n"/>
      <c r="V72" s="5" t="inlineStr">
        <is>
          <t>Disfrutando sin Gluten: 'Famosa cadena de heladerías artesanas de origen gallego avaladas por FACE'. UNKLAR ob 100% GF — bei Eis-Ketten oft Mischbetrieb. KLÄRUNGSBEDARF: welche Filiale, ist die ganze Heladería 100% GF?</t>
        </is>
      </c>
      <c r="W72" s="5" t="n"/>
      <c r="X72" s="5" t="b">
        <v>1</v>
      </c>
      <c r="Y72" s="5" t="b">
        <v>0</v>
      </c>
      <c r="Z72" s="5" t="inlineStr">
        <is>
          <t>FACE, ACEGA</t>
        </is>
      </c>
      <c r="AA72" s="5" t="n"/>
      <c r="AB72" s="5" t="n"/>
      <c r="AC72" s="5" t="n"/>
      <c r="AD72" s="5" t="n"/>
      <c r="AE72" s="5" t="n"/>
      <c r="AF72" s="5" t="n"/>
      <c r="AG72" s="5" t="n"/>
      <c r="AH72" s="5" t="n"/>
      <c r="AI72" s="5" t="n"/>
      <c r="AJ72" s="5" t="n"/>
      <c r="AK72" s="5" t="n"/>
      <c r="AL72" s="5" t="n"/>
      <c r="AM72" s="5" t="inlineStr">
        <is>
          <t>blog_research</t>
        </is>
      </c>
      <c r="AN72" s="5" t="inlineStr">
        <is>
          <t>disfrutandosingluten.es — Status 100% UNKLAR (Kette)</t>
        </is>
      </c>
      <c r="AO72" s="5" t="inlineStr">
        <is>
          <t>2026-04-25</t>
        </is>
      </c>
      <c r="AP72" s="5" t="inlineStr">
        <is>
          <t>2026-04-25</t>
        </is>
      </c>
    </row>
    <row r="73" ht="80.09999999999999" customHeight="1">
      <c r="A73" s="5" t="inlineStr">
        <is>
          <t>es_as_001</t>
        </is>
      </c>
      <c r="B73" s="5" t="inlineStr">
        <is>
          <t>El Fartuquín</t>
        </is>
      </c>
      <c r="C73" s="5" t="inlineStr">
        <is>
          <t>el-fartuquin-oviedo</t>
        </is>
      </c>
      <c r="D73" s="5" t="inlineStr">
        <is>
          <t>ES</t>
        </is>
      </c>
      <c r="E73" s="5" t="inlineStr">
        <is>
          <t>ES-AS</t>
        </is>
      </c>
      <c r="F73" s="5" t="inlineStr">
        <is>
          <t>Principado de Asturias</t>
        </is>
      </c>
      <c r="G73" s="5" t="inlineStr">
        <is>
          <t>Asturias</t>
        </is>
      </c>
      <c r="H73" s="5" t="inlineStr">
        <is>
          <t>Oviedo</t>
        </is>
      </c>
      <c r="I73" s="5" t="inlineStr">
        <is>
          <t>Centro Histórico</t>
        </is>
      </c>
      <c r="J73" s="5" t="inlineStr">
        <is>
          <t>33009</t>
        </is>
      </c>
      <c r="K73" s="5" t="inlineStr">
        <is>
          <t>C. Carpio, 19</t>
        </is>
      </c>
      <c r="L73" s="5" t="n">
        <v>43.359764</v>
      </c>
      <c r="M73" s="5" t="n">
        <v>-5.843641</v>
      </c>
      <c r="N73" s="5" t="inlineStr">
        <is>
          <t>restaurant</t>
        </is>
      </c>
      <c r="O73" s="5" t="inlineStr">
        <is>
          <t>asturiana, espanola, sidreria</t>
        </is>
      </c>
      <c r="P73" s="5" t="inlineStr">
        <is>
          <t>€€</t>
        </is>
      </c>
      <c r="Q73" s="5" t="inlineStr">
        <is>
          <t>lunch, dinner</t>
        </is>
      </c>
      <c r="R73" s="6" t="inlineStr">
        <is>
          <t>pending_verification</t>
        </is>
      </c>
      <c r="S73" s="5" t="n"/>
      <c r="T73" s="5" t="n"/>
      <c r="U73" s="5" t="n"/>
      <c r="V73" s="5" t="inlineStr">
        <is>
          <t>ACSG-Verzeichnis 'Avalado 100%'. Mehrfach als bestes GF-Restaurant Spaniens (Celicidad-App). 100% GF Sidrería im Zentrum. ACEPA-zertifiziert. Cocina asturiana tradicional. PRÜFEN.</t>
        </is>
      </c>
      <c r="W73" s="5" t="n"/>
      <c r="X73" s="5" t="b">
        <v>0</v>
      </c>
      <c r="Y73" s="5" t="b">
        <v>0</v>
      </c>
      <c r="Z73" s="5" t="inlineStr">
        <is>
          <t>ACEPA, ACSG Madrid</t>
        </is>
      </c>
      <c r="AA73" s="5" t="inlineStr">
        <is>
          <t>+34985229971</t>
        </is>
      </c>
      <c r="AB73" s="5" t="n"/>
      <c r="AC73" s="5" t="n"/>
      <c r="AD73" s="5" t="inlineStr">
        <is>
          <t>https://www.restauranteelfartuquin.es</t>
        </is>
      </c>
      <c r="AE73" s="5" t="inlineStr">
        <is>
          <t>@el_fartuquin</t>
        </is>
      </c>
      <c r="AF73" s="5" t="n"/>
      <c r="AG73" s="5" t="n"/>
      <c r="AH73" s="5" t="n"/>
      <c r="AI73" s="5" t="inlineStr">
        <is>
          <t>Sidrería 100% sin gluten en el centro histórico de Oviedo. Cocina asturiana tradicional.</t>
        </is>
      </c>
      <c r="AJ73" s="5" t="inlineStr">
        <is>
          <t>100% gluten-free cider house in Oviedo's historic center. Traditional Asturian cuisine.</t>
        </is>
      </c>
      <c r="AK73" s="5" t="inlineStr">
        <is>
          <t>100% glutenfreies Sidrería im historischen Zentrum von Oviedo. Traditionelle asturische Küche.</t>
        </is>
      </c>
      <c r="AL73" s="5" t="n"/>
      <c r="AM73" s="5" t="inlineStr">
        <is>
          <t>regional_association</t>
        </is>
      </c>
      <c r="AN73" s="5" t="inlineStr">
        <is>
          <t>celiacosmadrid.org + adpan.es + celiaquita.com (Stand 2024-2026)</t>
        </is>
      </c>
      <c r="AO73" s="5" t="inlineStr">
        <is>
          <t>2026-04-25</t>
        </is>
      </c>
      <c r="AP73" s="5" t="inlineStr">
        <is>
          <t>2026-04-25</t>
        </is>
      </c>
    </row>
    <row r="74" ht="80.09999999999999" customHeight="1">
      <c r="A74" s="5" t="inlineStr">
        <is>
          <t>es_as_002</t>
        </is>
      </c>
      <c r="B74" s="5" t="inlineStr">
        <is>
          <t>El Bucanero</t>
        </is>
      </c>
      <c r="C74" s="5" t="inlineStr">
        <is>
          <t>el-bucanero-oviedo</t>
        </is>
      </c>
      <c r="D74" s="5" t="inlineStr">
        <is>
          <t>ES</t>
        </is>
      </c>
      <c r="E74" s="5" t="inlineStr">
        <is>
          <t>ES-AS</t>
        </is>
      </c>
      <c r="F74" s="5" t="inlineStr">
        <is>
          <t>Principado de Asturias</t>
        </is>
      </c>
      <c r="G74" s="5" t="inlineStr">
        <is>
          <t>Asturias</t>
        </is>
      </c>
      <c r="H74" s="5" t="inlineStr">
        <is>
          <t>Oviedo</t>
        </is>
      </c>
      <c r="I74" s="5" t="n"/>
      <c r="J74" s="5" t="inlineStr">
        <is>
          <t>33001</t>
        </is>
      </c>
      <c r="K74" s="5" t="inlineStr">
        <is>
          <t>C. Manuel García Conde 3</t>
        </is>
      </c>
      <c r="L74" s="5" t="n">
        <v>43.353345</v>
      </c>
      <c r="M74" s="5" t="n">
        <v>-5.87951</v>
      </c>
      <c r="N74" s="5" t="inlineStr">
        <is>
          <t>restaurant</t>
        </is>
      </c>
      <c r="O74" s="5" t="inlineStr">
        <is>
          <t>internacional, asturiana, vegana</t>
        </is>
      </c>
      <c r="P74" s="5" t="inlineStr">
        <is>
          <t>€€€</t>
        </is>
      </c>
      <c r="Q74" s="5" t="inlineStr">
        <is>
          <t>lunch, dinner</t>
        </is>
      </c>
      <c r="R74" s="6" t="inlineStr">
        <is>
          <t>pending_verification</t>
        </is>
      </c>
      <c r="S74" s="5" t="n"/>
      <c r="T74" s="5" t="n"/>
      <c r="U74" s="5" t="n"/>
      <c r="V74" s="5" t="inlineStr">
        <is>
          <t>ACEPA-Liste. Disfrutando sin Gluten: 'Con una propuesta innovadora, 100% sin gluten y opciones veganas, la carta del Bucanero tiene los mejores platos fusión del mar Caribe y la cocina asturiana'. PRÜFEN.</t>
        </is>
      </c>
      <c r="W74" s="5" t="n"/>
      <c r="X74" s="5" t="b">
        <v>0</v>
      </c>
      <c r="Y74" s="5" t="b">
        <v>0</v>
      </c>
      <c r="Z74" s="5" t="inlineStr">
        <is>
          <t>ACEPA</t>
        </is>
      </c>
      <c r="AA74" s="5" t="inlineStr">
        <is>
          <t>+34985071028</t>
        </is>
      </c>
      <c r="AB74" s="5" t="n"/>
      <c r="AC74" s="5" t="n"/>
      <c r="AD74" s="5" t="inlineStr">
        <is>
          <t>https://elbucanero.es</t>
        </is>
      </c>
      <c r="AE74" s="5" t="n"/>
      <c r="AF74" s="5" t="n"/>
      <c r="AG74" s="5" t="n"/>
      <c r="AH74" s="5" t="n"/>
      <c r="AI74" s="5" t="inlineStr">
        <is>
          <t>Restaurante 100% sin gluten en Oviedo con cocina fusión mar Caribe-Asturias. También opciones veganas.</t>
        </is>
      </c>
      <c r="AJ74" s="5" t="inlineStr">
        <is>
          <t>100% gluten-free restaurant in Oviedo with Caribbean-Asturian fusion. Vegan options too.</t>
        </is>
      </c>
      <c r="AK74" s="5" t="inlineStr">
        <is>
          <t>100% glutenfreies Restaurant in Oviedo mit karibisch-asturischer Fusion. Auch vegane Optionen.</t>
        </is>
      </c>
      <c r="AL74" s="5" t="n"/>
      <c r="AM74" s="5" t="inlineStr">
        <is>
          <t>regional_association</t>
        </is>
      </c>
      <c r="AN74" s="5" t="inlineStr">
        <is>
          <t>asociacionceliacosasturias.org + disfrutandosingluten.es</t>
        </is>
      </c>
      <c r="AO74" s="5" t="inlineStr">
        <is>
          <t>2026-04-25</t>
        </is>
      </c>
      <c r="AP74" s="5" t="inlineStr">
        <is>
          <t>2026-04-25</t>
        </is>
      </c>
    </row>
    <row r="75" ht="80.09999999999999" customHeight="1">
      <c r="A75" s="5" t="inlineStr">
        <is>
          <t>es_as_003</t>
        </is>
      </c>
      <c r="B75" s="5" t="inlineStr">
        <is>
          <t>Sidra Quelo</t>
        </is>
      </c>
      <c r="C75" s="5" t="inlineStr">
        <is>
          <t>sidra-quelo-oviedo</t>
        </is>
      </c>
      <c r="D75" s="5" t="inlineStr">
        <is>
          <t>ES</t>
        </is>
      </c>
      <c r="E75" s="5" t="inlineStr">
        <is>
          <t>ES-AS</t>
        </is>
      </c>
      <c r="F75" s="5" t="inlineStr">
        <is>
          <t>Principado de Asturias</t>
        </is>
      </c>
      <c r="G75" s="5" t="inlineStr">
        <is>
          <t>Asturias</t>
        </is>
      </c>
      <c r="H75" s="5" t="inlineStr">
        <is>
          <t>Oviedo</t>
        </is>
      </c>
      <c r="I75" s="5" t="inlineStr">
        <is>
          <t>Tiñana</t>
        </is>
      </c>
      <c r="J75" s="5" t="inlineStr">
        <is>
          <t>33199</t>
        </is>
      </c>
      <c r="K75" s="5" t="inlineStr">
        <is>
          <t>C/ Fueyo, 21</t>
        </is>
      </c>
      <c r="L75" s="5" t="n">
        <v>43.357637</v>
      </c>
      <c r="M75" s="5" t="n">
        <v>-5.835517</v>
      </c>
      <c r="N75" s="5" t="inlineStr">
        <is>
          <t>restaurant</t>
        </is>
      </c>
      <c r="O75" s="5" t="inlineStr">
        <is>
          <t>asturiana, sidreria, espanola</t>
        </is>
      </c>
      <c r="P75" s="5" t="inlineStr">
        <is>
          <t>€€</t>
        </is>
      </c>
      <c r="Q75" s="5" t="inlineStr">
        <is>
          <t>lunch, dinner</t>
        </is>
      </c>
      <c r="R75" s="6" t="inlineStr">
        <is>
          <t>pending_verification</t>
        </is>
      </c>
      <c r="S75" s="5" t="n"/>
      <c r="T75" s="5" t="n"/>
      <c r="U75" s="5" t="n"/>
      <c r="V75" s="5" t="inlineStr">
        <is>
          <t>ACEPA-zertifiziert. Celinews: 'Restaurante 100% sin gluten con una gran variedad de carta (tienen cachopo y croquetas aptas para celíacos)'. PRÜFEN.</t>
        </is>
      </c>
      <c r="W75" s="5" t="n"/>
      <c r="X75" s="5" t="b">
        <v>0</v>
      </c>
      <c r="Y75" s="5" t="b">
        <v>0</v>
      </c>
      <c r="Z75" s="5" t="inlineStr">
        <is>
          <t>ACEPA</t>
        </is>
      </c>
      <c r="AA75" s="5" t="inlineStr">
        <is>
          <t>+34985792932</t>
        </is>
      </c>
      <c r="AB75" s="5" t="n"/>
      <c r="AC75" s="5" t="n"/>
      <c r="AD75" s="5" t="inlineStr">
        <is>
          <t>https://sidraquelo.com</t>
        </is>
      </c>
      <c r="AE75" s="5" t="n"/>
      <c r="AF75" s="5" t="n"/>
      <c r="AG75" s="5" t="n"/>
      <c r="AH75" s="5" t="n"/>
      <c r="AI75" s="5" t="inlineStr">
        <is>
          <t>Sidrería 100% sin gluten cerca de Oviedo. Cachopo, croquetas y comida asturiana tradicional.</t>
        </is>
      </c>
      <c r="AJ75" s="5" t="inlineStr">
        <is>
          <t>100% gluten-free cider house near Oviedo. Cachopo, croquettes and traditional Asturian cuisine.</t>
        </is>
      </c>
      <c r="AK75" s="5" t="inlineStr">
        <is>
          <t>100% glutenfreies Sidrería bei Oviedo. Cachopo, Kroketten und traditionelle asturische Küche.</t>
        </is>
      </c>
      <c r="AL75" s="5" t="n"/>
      <c r="AM75" s="5" t="inlineStr">
        <is>
          <t>regional_association</t>
        </is>
      </c>
      <c r="AN75" s="5" t="inlineStr">
        <is>
          <t>asociacionceliacosasturias.org + celinews.com</t>
        </is>
      </c>
      <c r="AO75" s="5" t="inlineStr">
        <is>
          <t>2026-04-25</t>
        </is>
      </c>
      <c r="AP75" s="5" t="inlineStr">
        <is>
          <t>2026-04-25</t>
        </is>
      </c>
    </row>
    <row r="76" ht="80.09999999999999" customHeight="1">
      <c r="A76" s="5" t="inlineStr">
        <is>
          <t>es_as_004</t>
        </is>
      </c>
      <c r="B76" s="5" t="inlineStr">
        <is>
          <t>La Esquina del Peso</t>
        </is>
      </c>
      <c r="C76" s="5" t="inlineStr">
        <is>
          <t>esquina-del-peso-oviedo</t>
        </is>
      </c>
      <c r="D76" s="5" t="inlineStr">
        <is>
          <t>ES</t>
        </is>
      </c>
      <c r="E76" s="5" t="inlineStr">
        <is>
          <t>ES-AS</t>
        </is>
      </c>
      <c r="F76" s="5" t="inlineStr">
        <is>
          <t>Principado de Asturias</t>
        </is>
      </c>
      <c r="G76" s="5" t="inlineStr">
        <is>
          <t>Asturias</t>
        </is>
      </c>
      <c r="H76" s="5" t="inlineStr">
        <is>
          <t>Oviedo</t>
        </is>
      </c>
      <c r="I76" s="5" t="inlineStr">
        <is>
          <t>Centro</t>
        </is>
      </c>
      <c r="J76" s="5" t="n"/>
      <c r="K76" s="5" t="inlineStr">
        <is>
          <t>junto al Ayuntamiento de Oviedo</t>
        </is>
      </c>
      <c r="L76" s="5" t="n">
        <v>43.353345</v>
      </c>
      <c r="M76" s="5" t="n">
        <v>-5.87951</v>
      </c>
      <c r="N76" s="5" t="inlineStr">
        <is>
          <t>cafe</t>
        </is>
      </c>
      <c r="O76" s="5" t="inlineStr">
        <is>
          <t>saludable, espanola</t>
        </is>
      </c>
      <c r="P76" s="5" t="inlineStr">
        <is>
          <t>€€</t>
        </is>
      </c>
      <c r="Q76" s="5" t="inlineStr">
        <is>
          <t>breakfast, lunch, dinner</t>
        </is>
      </c>
      <c r="R76" s="6" t="inlineStr">
        <is>
          <t>pending_verification</t>
        </is>
      </c>
      <c r="S76" s="5" t="n"/>
      <c r="T76" s="5" t="n"/>
      <c r="U76" s="5" t="n"/>
      <c r="V76" s="5" t="inlineStr">
        <is>
          <t>Celicidad: 'Cocina libre de gluten y obrador también 100% sin gluten. La Esquina del Peso lo tiene todo: cuenta con servicio de cafetería y con los productos sin gluten del obrador La Amasería, 100% sin gluten'. PRÜFEN: exakte Adresse.</t>
        </is>
      </c>
      <c r="W76" s="5" t="n"/>
      <c r="X76" s="5" t="b">
        <v>0</v>
      </c>
      <c r="Y76" s="5" t="b">
        <v>0</v>
      </c>
      <c r="Z76" s="5" t="inlineStr">
        <is>
          <t>ACEPA</t>
        </is>
      </c>
      <c r="AA76" s="5" t="n"/>
      <c r="AB76" s="5" t="n"/>
      <c r="AC76" s="5" t="n"/>
      <c r="AD76" s="5" t="n"/>
      <c r="AE76" s="5" t="n"/>
      <c r="AF76" s="5" t="n"/>
      <c r="AG76" s="5" t="n"/>
      <c r="AH76" s="5" t="n"/>
      <c r="AI76" s="5" t="inlineStr">
        <is>
          <t>Cafetería 100% sin gluten con obrador propio La Amasería en pleno centro de Oviedo.</t>
        </is>
      </c>
      <c r="AJ76" s="5" t="inlineStr">
        <is>
          <t>100% gluten-free café with own bakery La Amasería in Oviedo's center.</t>
        </is>
      </c>
      <c r="AK76" s="5" t="inlineStr">
        <is>
          <t>100% glutenfreies Café mit eigener Bäckerei La Amasería im Zentrum von Oviedo.</t>
        </is>
      </c>
      <c r="AL76" s="5" t="n"/>
      <c r="AM76" s="5" t="inlineStr">
        <is>
          <t>blog_research</t>
        </is>
      </c>
      <c r="AN76" s="5" t="inlineStr">
        <is>
          <t>celicidad.net (Stand 09/2025)</t>
        </is>
      </c>
      <c r="AO76" s="5" t="inlineStr">
        <is>
          <t>2026-04-25</t>
        </is>
      </c>
      <c r="AP76" s="5" t="inlineStr">
        <is>
          <t>2026-04-25</t>
        </is>
      </c>
    </row>
    <row r="77" ht="80.09999999999999" customHeight="1">
      <c r="A77" s="5" t="inlineStr">
        <is>
          <t>es_as_005</t>
        </is>
      </c>
      <c r="B77" s="5" t="inlineStr">
        <is>
          <t>El Palace Gijón</t>
        </is>
      </c>
      <c r="C77" s="5" t="inlineStr">
        <is>
          <t>el-palace-gijon</t>
        </is>
      </c>
      <c r="D77" s="5" t="inlineStr">
        <is>
          <t>ES</t>
        </is>
      </c>
      <c r="E77" s="5" t="inlineStr">
        <is>
          <t>ES-AS</t>
        </is>
      </c>
      <c r="F77" s="5" t="inlineStr">
        <is>
          <t>Principado de Asturias</t>
        </is>
      </c>
      <c r="G77" s="5" t="inlineStr">
        <is>
          <t>Asturias</t>
        </is>
      </c>
      <c r="H77" s="5" t="inlineStr">
        <is>
          <t>Gijón</t>
        </is>
      </c>
      <c r="I77" s="5" t="n"/>
      <c r="J77" s="5" t="n"/>
      <c r="K77" s="5" t="inlineStr">
        <is>
          <t>Plaza de la Serena</t>
        </is>
      </c>
      <c r="L77" s="5" t="n">
        <v>43.530154</v>
      </c>
      <c r="M77" s="5" t="n">
        <v>-5.664572</v>
      </c>
      <c r="N77" s="5" t="inlineStr">
        <is>
          <t>restaurant</t>
        </is>
      </c>
      <c r="O77" s="5" t="inlineStr">
        <is>
          <t>asturiana, espanola</t>
        </is>
      </c>
      <c r="P77" s="5" t="inlineStr">
        <is>
          <t>€€€</t>
        </is>
      </c>
      <c r="Q77" s="5" t="inlineStr">
        <is>
          <t>lunch, dinner</t>
        </is>
      </c>
      <c r="R77" s="6" t="inlineStr">
        <is>
          <t>pending_verification</t>
        </is>
      </c>
      <c r="S77" s="5" t="n"/>
      <c r="T77" s="5" t="n"/>
      <c r="U77" s="5" t="n"/>
      <c r="V77" s="5" t="inlineStr">
        <is>
          <t>Celicidad: 'Con una carta 100% sin gluten, el Palace se ha convertido en un imprescindible si visitas Gijón'. PRÜFEN: Adresse.</t>
        </is>
      </c>
      <c r="W77" s="5" t="n"/>
      <c r="X77" s="5" t="b">
        <v>0</v>
      </c>
      <c r="Y77" s="5" t="b">
        <v>0</v>
      </c>
      <c r="Z77" s="5" t="inlineStr">
        <is>
          <t>ACEPA</t>
        </is>
      </c>
      <c r="AA77" s="5" t="n"/>
      <c r="AB77" s="5" t="n"/>
      <c r="AC77" s="5" t="n"/>
      <c r="AD77" s="5" t="n"/>
      <c r="AE77" s="5" t="n"/>
      <c r="AF77" s="5" t="n"/>
      <c r="AG77" s="5" t="n"/>
      <c r="AH77" s="5" t="n"/>
      <c r="AI77" s="5" t="inlineStr">
        <is>
          <t>Restaurante 100% sin gluten en Gijón, cocina asturiana tradicional con toques nuevos.</t>
        </is>
      </c>
      <c r="AJ77" s="5" t="inlineStr">
        <is>
          <t>100% gluten-free restaurant in Gijón, traditional Asturian cuisine with modern twists.</t>
        </is>
      </c>
      <c r="AK77" s="5" t="inlineStr">
        <is>
          <t>100% glutenfreies Restaurant in Gijón, traditionelle asturische Küche mit modernen Akzenten.</t>
        </is>
      </c>
      <c r="AL77" s="5" t="n"/>
      <c r="AM77" s="5" t="inlineStr">
        <is>
          <t>blog_research</t>
        </is>
      </c>
      <c r="AN77" s="5" t="inlineStr">
        <is>
          <t>celicidad.net (Stand 09/2025)</t>
        </is>
      </c>
      <c r="AO77" s="5" t="inlineStr">
        <is>
          <t>2026-04-25</t>
        </is>
      </c>
      <c r="AP77" s="5" t="inlineStr">
        <is>
          <t>2026-04-25</t>
        </is>
      </c>
    </row>
    <row r="78" ht="80.09999999999999" customHeight="1">
      <c r="A78" s="5" t="inlineStr">
        <is>
          <t>es_as_006</t>
        </is>
      </c>
      <c r="B78" s="5" t="inlineStr">
        <is>
          <t>Casa Niembro</t>
        </is>
      </c>
      <c r="C78" s="5" t="inlineStr">
        <is>
          <t>casa-niembro-asiegu</t>
        </is>
      </c>
      <c r="D78" s="5" t="inlineStr">
        <is>
          <t>ES</t>
        </is>
      </c>
      <c r="E78" s="5" t="inlineStr">
        <is>
          <t>ES-AS</t>
        </is>
      </c>
      <c r="F78" s="5" t="inlineStr">
        <is>
          <t>Principado de Asturias</t>
        </is>
      </c>
      <c r="G78" s="5" t="inlineStr">
        <is>
          <t>Asturias</t>
        </is>
      </c>
      <c r="H78" s="5" t="inlineStr">
        <is>
          <t>Asiegu</t>
        </is>
      </c>
      <c r="I78" s="5" t="inlineStr">
        <is>
          <t>Cabrales</t>
        </is>
      </c>
      <c r="J78" s="5" t="n"/>
      <c r="K78" s="5" t="inlineStr">
        <is>
          <t>Asiegu, Cabrales</t>
        </is>
      </c>
      <c r="L78" s="5" t="n">
        <v>43.323991</v>
      </c>
      <c r="M78" s="5" t="n">
        <v>-4.858951</v>
      </c>
      <c r="N78" s="5" t="inlineStr">
        <is>
          <t>restaurant</t>
        </is>
      </c>
      <c r="O78" s="5" t="inlineStr">
        <is>
          <t>asturiana, sidreria, espanola</t>
        </is>
      </c>
      <c r="P78" s="5" t="inlineStr">
        <is>
          <t>€€</t>
        </is>
      </c>
      <c r="Q78" s="5" t="inlineStr">
        <is>
          <t>lunch, dinner</t>
        </is>
      </c>
      <c r="R78" s="6" t="inlineStr">
        <is>
          <t>pending_verification</t>
        </is>
      </c>
      <c r="S78" s="5" t="n"/>
      <c r="T78" s="5" t="n"/>
      <c r="U78" s="5" t="n"/>
      <c r="V78" s="5" t="inlineStr">
        <is>
          <t>Celicidad-Referenz: 'Casa Niembro es una referencia en Asturias y en España. Carta 100% sin gluten... cordero xaldu a la sidra, cachopo a la plancha, tortos de maíz'. Im Naturpark Picos de Europa, Blick auf Urriellu. Auch Food Truck 'La Pavoneta'. PRÜFEN.</t>
        </is>
      </c>
      <c r="W78" s="5" t="n"/>
      <c r="X78" s="5" t="b">
        <v>0</v>
      </c>
      <c r="Y78" s="5" t="b">
        <v>0</v>
      </c>
      <c r="Z78" s="5" t="inlineStr">
        <is>
          <t>ACEPA</t>
        </is>
      </c>
      <c r="AA78" s="5" t="n"/>
      <c r="AB78" s="5" t="n"/>
      <c r="AC78" s="5" t="n"/>
      <c r="AD78" s="5" t="n"/>
      <c r="AE78" s="5" t="n"/>
      <c r="AF78" s="5" t="n"/>
      <c r="AG78" s="5" t="n"/>
      <c r="AH78" s="5" t="n"/>
      <c r="AI78" s="5" t="inlineStr">
        <is>
          <t>Sidrería 100% sin gluten en Cabrales con vistas al Urriellu. Cocina asturiana tradicional premiada.</t>
        </is>
      </c>
      <c r="AJ78" s="5" t="inlineStr">
        <is>
          <t>100% gluten-free cider house in Cabrales with Urriellu views. Award-winning traditional Asturian cuisine.</t>
        </is>
      </c>
      <c r="AK78" s="5" t="inlineStr">
        <is>
          <t>100% glutenfreies Sidrería in Cabrales mit Blick auf den Urriellu. Preisgekrönte traditionelle asturische Küche.</t>
        </is>
      </c>
      <c r="AL78" s="5" t="n"/>
      <c r="AM78" s="5" t="inlineStr">
        <is>
          <t>blog_research</t>
        </is>
      </c>
      <c r="AN78" s="5" t="inlineStr">
        <is>
          <t>celicidad.net + adpan.es (Stand 2024-2025)</t>
        </is>
      </c>
      <c r="AO78" s="5" t="inlineStr">
        <is>
          <t>2026-04-25</t>
        </is>
      </c>
      <c r="AP78" s="5" t="inlineStr">
        <is>
          <t>2026-04-25</t>
        </is>
      </c>
    </row>
    <row r="79" ht="80.09999999999999" customHeight="1">
      <c r="A79" s="5" t="inlineStr">
        <is>
          <t>es_as_007</t>
        </is>
      </c>
      <c r="B79" s="5" t="inlineStr">
        <is>
          <t>Bar Moreno</t>
        </is>
      </c>
      <c r="C79" s="5" t="inlineStr">
        <is>
          <t>bar-moreno-cangas-narcea</t>
        </is>
      </c>
      <c r="D79" s="5" t="inlineStr">
        <is>
          <t>ES</t>
        </is>
      </c>
      <c r="E79" s="5" t="inlineStr">
        <is>
          <t>ES-AS</t>
        </is>
      </c>
      <c r="F79" s="5" t="inlineStr">
        <is>
          <t>Principado de Asturias</t>
        </is>
      </c>
      <c r="G79" s="5" t="inlineStr">
        <is>
          <t>Asturias</t>
        </is>
      </c>
      <c r="H79" s="5" t="inlineStr">
        <is>
          <t>Cangas del Narcea</t>
        </is>
      </c>
      <c r="I79" s="5" t="n"/>
      <c r="J79" s="5" t="n"/>
      <c r="K79" s="5" t="n"/>
      <c r="L79" s="5" t="n">
        <v>43.116135</v>
      </c>
      <c r="M79" s="5" t="n">
        <v>-6.56466</v>
      </c>
      <c r="N79" s="5" t="inlineStr">
        <is>
          <t>bar_tapas</t>
        </is>
      </c>
      <c r="O79" s="5" t="inlineStr">
        <is>
          <t>asturiana, tapas, espanola</t>
        </is>
      </c>
      <c r="P79" s="5" t="inlineStr">
        <is>
          <t>€€</t>
        </is>
      </c>
      <c r="Q79" s="5" t="inlineStr">
        <is>
          <t>lunch, dinner, snacks</t>
        </is>
      </c>
      <c r="R79" s="6" t="inlineStr">
        <is>
          <t>pending_verification</t>
        </is>
      </c>
      <c r="S79" s="5" t="n"/>
      <c r="T79" s="5" t="n"/>
      <c r="U79" s="5" t="n"/>
      <c r="V79" s="5" t="inlineStr">
        <is>
          <t>Celicidad: 'En el Bar Moreno ofrecen una variada carta libre de gluten... Un imprescindible de Cangas del Narcea, tanto si tienes celiaquía como si no'. UNKLAR ob 100% GF — Klärungsbedarf. Veranstaltet 'Cangas Sin Gluten' Festival.</t>
        </is>
      </c>
      <c r="W79" s="5" t="n"/>
      <c r="X79" s="5" t="b">
        <v>0</v>
      </c>
      <c r="Y79" s="5" t="b">
        <v>0</v>
      </c>
      <c r="Z79" s="5" t="inlineStr">
        <is>
          <t>ACEPA</t>
        </is>
      </c>
      <c r="AA79" s="5" t="n"/>
      <c r="AB79" s="5" t="n"/>
      <c r="AC79" s="5" t="n"/>
      <c r="AD79" s="5" t="n"/>
      <c r="AE79" s="5" t="n"/>
      <c r="AF79" s="5" t="n"/>
      <c r="AG79" s="5" t="n"/>
      <c r="AH79" s="5" t="n"/>
      <c r="AI79" s="5" t="n"/>
      <c r="AJ79" s="5" t="n"/>
      <c r="AK79" s="5" t="n"/>
      <c r="AL79" s="5" t="n"/>
      <c r="AM79" s="5" t="inlineStr">
        <is>
          <t>blog_research</t>
        </is>
      </c>
      <c r="AN79" s="5" t="inlineStr">
        <is>
          <t>celicidad.net — Status 100% UNKLAR</t>
        </is>
      </c>
      <c r="AO79" s="5" t="inlineStr">
        <is>
          <t>2026-04-25</t>
        </is>
      </c>
      <c r="AP79" s="5" t="inlineStr">
        <is>
          <t>2026-04-25</t>
        </is>
      </c>
    </row>
    <row r="80" ht="80.09999999999999" customHeight="1">
      <c r="A80" s="5" t="inlineStr">
        <is>
          <t>es_as_008</t>
        </is>
      </c>
      <c r="B80" s="5" t="inlineStr">
        <is>
          <t>El Candil</t>
        </is>
      </c>
      <c r="C80" s="5" t="inlineStr">
        <is>
          <t>el-candil-asturias</t>
        </is>
      </c>
      <c r="D80" s="5" t="inlineStr">
        <is>
          <t>ES</t>
        </is>
      </c>
      <c r="E80" s="5" t="inlineStr">
        <is>
          <t>ES-AS</t>
        </is>
      </c>
      <c r="F80" s="5" t="inlineStr">
        <is>
          <t>Principado de Asturias</t>
        </is>
      </c>
      <c r="G80" s="5" t="inlineStr">
        <is>
          <t>Asturias</t>
        </is>
      </c>
      <c r="H80" s="5" t="inlineStr">
        <is>
          <t>Asturias</t>
        </is>
      </c>
      <c r="I80" s="5" t="n"/>
      <c r="J80" s="5" t="n"/>
      <c r="K80" s="5" t="n"/>
      <c r="L80" s="5" t="n">
        <v>43.313387</v>
      </c>
      <c r="M80" s="5" t="n">
        <v>-5.94192</v>
      </c>
      <c r="N80" s="5" t="inlineStr">
        <is>
          <t>restaurant</t>
        </is>
      </c>
      <c r="O80" s="5" t="inlineStr">
        <is>
          <t>asturiana, espanola</t>
        </is>
      </c>
      <c r="P80" s="5" t="inlineStr">
        <is>
          <t>€€</t>
        </is>
      </c>
      <c r="Q80" s="5" t="inlineStr">
        <is>
          <t>lunch, dinner</t>
        </is>
      </c>
      <c r="R80" s="6" t="inlineStr">
        <is>
          <t>pending_verification</t>
        </is>
      </c>
      <c r="S80" s="5" t="n"/>
      <c r="T80" s="5" t="n"/>
      <c r="U80" s="5" t="n"/>
      <c r="V80" s="5" t="inlineStr">
        <is>
          <t>Celicidad: 'Un establecimiento 100% sin gluten en una de las zonas más turísticas del Principado. El Candil apuesta por una cocina tradicional, sabrosa, cuidada y abundante'. PRÜFEN: Adresse, Stadt.</t>
        </is>
      </c>
      <c r="W80" s="5" t="n"/>
      <c r="X80" s="5" t="b">
        <v>0</v>
      </c>
      <c r="Y80" s="5" t="b">
        <v>0</v>
      </c>
      <c r="Z80" s="5" t="inlineStr">
        <is>
          <t>ACEPA</t>
        </is>
      </c>
      <c r="AA80" s="5" t="n"/>
      <c r="AB80" s="5" t="n"/>
      <c r="AC80" s="5" t="n"/>
      <c r="AD80" s="5" t="n"/>
      <c r="AE80" s="5" t="n"/>
      <c r="AF80" s="5" t="n"/>
      <c r="AG80" s="5" t="n"/>
      <c r="AH80" s="5" t="n"/>
      <c r="AI80" s="5" t="inlineStr">
        <is>
          <t>Restaurante 100% sin gluten con cocina tradicional asturiana en Asturias.</t>
        </is>
      </c>
      <c r="AJ80" s="5" t="inlineStr">
        <is>
          <t>100% gluten-free restaurant with traditional Asturian cuisine in Asturias.</t>
        </is>
      </c>
      <c r="AK80" s="5" t="inlineStr">
        <is>
          <t>100% glutenfreies Restaurant mit traditioneller asturischer Küche in Asturien.</t>
        </is>
      </c>
      <c r="AL80" s="5" t="n"/>
      <c r="AM80" s="5" t="inlineStr">
        <is>
          <t>blog_research</t>
        </is>
      </c>
      <c r="AN80" s="5" t="inlineStr">
        <is>
          <t>celicidad.net (Stand 09/2025) — Adresse fehlt</t>
        </is>
      </c>
      <c r="AO80" s="5" t="inlineStr">
        <is>
          <t>2026-04-25</t>
        </is>
      </c>
      <c r="AP80" s="5" t="inlineStr">
        <is>
          <t>2026-04-25</t>
        </is>
      </c>
    </row>
    <row r="81" ht="80.09999999999999" customHeight="1">
      <c r="A81" s="5" t="inlineStr">
        <is>
          <t>es_as_009</t>
        </is>
      </c>
      <c r="B81" s="5" t="inlineStr">
        <is>
          <t>Llagar El Quesu</t>
        </is>
      </c>
      <c r="C81" s="5" t="inlineStr">
        <is>
          <t>llagar-el-quesu-bobes</t>
        </is>
      </c>
      <c r="D81" s="5" t="inlineStr">
        <is>
          <t>ES</t>
        </is>
      </c>
      <c r="E81" s="5" t="inlineStr">
        <is>
          <t>ES-AS</t>
        </is>
      </c>
      <c r="F81" s="5" t="inlineStr">
        <is>
          <t>Principado de Asturias</t>
        </is>
      </c>
      <c r="G81" s="5" t="inlineStr">
        <is>
          <t>Asturias</t>
        </is>
      </c>
      <c r="H81" s="5" t="inlineStr">
        <is>
          <t>Bobes</t>
        </is>
      </c>
      <c r="I81" s="5" t="inlineStr">
        <is>
          <t>Siero</t>
        </is>
      </c>
      <c r="J81" s="5" t="inlineStr">
        <is>
          <t>33429</t>
        </is>
      </c>
      <c r="K81" s="5" t="inlineStr">
        <is>
          <t>Carretera AS-17 km 26</t>
        </is>
      </c>
      <c r="L81" s="5" t="n">
        <v>43.394542</v>
      </c>
      <c r="M81" s="5" t="n">
        <v>-5.765979</v>
      </c>
      <c r="N81" s="5" t="inlineStr">
        <is>
          <t>restaurant</t>
        </is>
      </c>
      <c r="O81" s="5" t="inlineStr">
        <is>
          <t>asturiana, sidreria, espanola</t>
        </is>
      </c>
      <c r="P81" s="5" t="inlineStr">
        <is>
          <t>€€</t>
        </is>
      </c>
      <c r="Q81" s="5" t="inlineStr">
        <is>
          <t>lunch, dinner</t>
        </is>
      </c>
      <c r="R81" s="6" t="inlineStr">
        <is>
          <t>pending_verification</t>
        </is>
      </c>
      <c r="S81" s="5" t="n"/>
      <c r="T81" s="5" t="n"/>
      <c r="U81" s="5" t="n"/>
      <c r="V81" s="5" t="inlineStr">
        <is>
          <t>ADPAN: 'Restaurante 100% libre de gluten certificado por ACEPA en Bobes, Llagar El Quesu... casi 100 años de historia'. ACEPA-Liste bestätigt. PRÜFEN.</t>
        </is>
      </c>
      <c r="W81" s="5" t="n"/>
      <c r="X81" s="5" t="b">
        <v>0</v>
      </c>
      <c r="Y81" s="5" t="b">
        <v>0</v>
      </c>
      <c r="Z81" s="5" t="inlineStr">
        <is>
          <t>ACEPA</t>
        </is>
      </c>
      <c r="AA81" s="5" t="inlineStr">
        <is>
          <t>+34985985304</t>
        </is>
      </c>
      <c r="AB81" s="5" t="n"/>
      <c r="AC81" s="5" t="n"/>
      <c r="AD81" s="5" t="n"/>
      <c r="AE81" s="5" t="n"/>
      <c r="AF81" s="5" t="n"/>
      <c r="AG81" s="5" t="n"/>
      <c r="AH81" s="5" t="n"/>
      <c r="AI81" s="5" t="inlineStr">
        <is>
          <t>Llagar 100% sin gluten certificado por ACEPA en Bobes, Siero. Especialistas en parrilla.</t>
        </is>
      </c>
      <c r="AJ81" s="5" t="inlineStr">
        <is>
          <t>100% gluten-free cider house, ACEPA-certified, in Bobes (Siero). Grill specialists.</t>
        </is>
      </c>
      <c r="AK81" s="5" t="inlineStr">
        <is>
          <t>100% glutenfreies Llagar, ACEPA-zertifiziert, in Bobes (Siero). Grill-Spezialisten.</t>
        </is>
      </c>
      <c r="AL81" s="5" t="n"/>
      <c r="AM81" s="5" t="inlineStr">
        <is>
          <t>regional_association</t>
        </is>
      </c>
      <c r="AN81" s="5" t="inlineStr">
        <is>
          <t>asociacionceliacosasturias.org + adpan.es</t>
        </is>
      </c>
      <c r="AO81" s="5" t="inlineStr">
        <is>
          <t>2026-04-25</t>
        </is>
      </c>
      <c r="AP81" s="5" t="inlineStr">
        <is>
          <t>2026-04-25</t>
        </is>
      </c>
    </row>
    <row r="82" ht="80.09999999999999" customHeight="1">
      <c r="A82" s="5" t="inlineStr">
        <is>
          <t>es_as_010</t>
        </is>
      </c>
      <c r="B82" s="5" t="inlineStr">
        <is>
          <t>Restaurante Las Palmeras (San Claudio)</t>
        </is>
      </c>
      <c r="C82" s="5" t="inlineStr">
        <is>
          <t>las-palmeras-san-claudio</t>
        </is>
      </c>
      <c r="D82" s="5" t="inlineStr">
        <is>
          <t>ES</t>
        </is>
      </c>
      <c r="E82" s="5" t="inlineStr">
        <is>
          <t>ES-AS</t>
        </is>
      </c>
      <c r="F82" s="5" t="inlineStr">
        <is>
          <t>Principado de Asturias</t>
        </is>
      </c>
      <c r="G82" s="5" t="inlineStr">
        <is>
          <t>Asturias</t>
        </is>
      </c>
      <c r="H82" s="5" t="inlineStr">
        <is>
          <t>San Claudio (Oviedo)</t>
        </is>
      </c>
      <c r="I82" s="5" t="n"/>
      <c r="J82" s="5" t="n"/>
      <c r="K82" s="5" t="n"/>
      <c r="L82" s="5" t="n">
        <v>43.355316</v>
      </c>
      <c r="M82" s="5" t="n">
        <v>-5.917795</v>
      </c>
      <c r="N82" s="5" t="inlineStr">
        <is>
          <t>restaurant</t>
        </is>
      </c>
      <c r="O82" s="5" t="inlineStr">
        <is>
          <t>asturiana, espanola</t>
        </is>
      </c>
      <c r="P82" s="5" t="inlineStr">
        <is>
          <t>€€</t>
        </is>
      </c>
      <c r="Q82" s="5" t="inlineStr">
        <is>
          <t>lunch, dinner</t>
        </is>
      </c>
      <c r="R82" s="6" t="inlineStr">
        <is>
          <t>pending_verification</t>
        </is>
      </c>
      <c r="S82" s="5" t="n"/>
      <c r="T82" s="5" t="n"/>
      <c r="U82" s="5" t="n"/>
      <c r="V82" s="5" t="inlineStr">
        <is>
          <t>Celiaquita: 'Certificados por ACEPA y FACE, aquí encontrarás cocina tradicional asturiana 100% sin gluten en San Claudio... el menú es 100% sin gluten'. Mit Terrasse + Kinderbereich. PRÜFEN: Adresse, Telefon.</t>
        </is>
      </c>
      <c r="W82" s="5" t="n"/>
      <c r="X82" s="5" t="b">
        <v>1</v>
      </c>
      <c r="Y82" s="5" t="b">
        <v>0</v>
      </c>
      <c r="Z82" s="5" t="inlineStr">
        <is>
          <t>FACE, ACEPA</t>
        </is>
      </c>
      <c r="AA82" s="5" t="n"/>
      <c r="AB82" s="5" t="n"/>
      <c r="AC82" s="5" t="n"/>
      <c r="AD82" s="5" t="n"/>
      <c r="AE82" s="5" t="n"/>
      <c r="AF82" s="5" t="n"/>
      <c r="AG82" s="5" t="n"/>
      <c r="AH82" s="5" t="n"/>
      <c r="AI82" s="5" t="inlineStr">
        <is>
          <t>Restaurante 100% sin gluten cerca de Oviedo. ACEPA y FACE certificados. Terraza y zona infantil.</t>
        </is>
      </c>
      <c r="AJ82" s="5" t="inlineStr">
        <is>
          <t>100% gluten-free restaurant near Oviedo. ACEPA and FACE certified. Terrace and kids' area.</t>
        </is>
      </c>
      <c r="AK82" s="5" t="inlineStr">
        <is>
          <t>100% glutenfreies Restaurant nahe Oviedo. ACEPA- und FACE-zertifiziert. Terrasse und Kinderbereich.</t>
        </is>
      </c>
      <c r="AL82" s="5" t="n"/>
      <c r="AM82" s="5" t="inlineStr">
        <is>
          <t>regional_association</t>
        </is>
      </c>
      <c r="AN82" s="5" t="inlineStr">
        <is>
          <t>celiaquita.com (Stand 07/2024)</t>
        </is>
      </c>
      <c r="AO82" s="5" t="inlineStr">
        <is>
          <t>2026-04-25</t>
        </is>
      </c>
      <c r="AP82" s="5" t="inlineStr">
        <is>
          <t>2026-04-25</t>
        </is>
      </c>
    </row>
    <row r="83" ht="80.09999999999999" customHeight="1">
      <c r="A83" s="5" t="inlineStr">
        <is>
          <t>es_as_011</t>
        </is>
      </c>
      <c r="B83" s="5" t="inlineStr">
        <is>
          <t>Vernasingluten Villanueva</t>
        </is>
      </c>
      <c r="C83" s="5" t="inlineStr">
        <is>
          <t>vernasingluten-villanueva</t>
        </is>
      </c>
      <c r="D83" s="5" t="inlineStr">
        <is>
          <t>ES</t>
        </is>
      </c>
      <c r="E83" s="5" t="inlineStr">
        <is>
          <t>ES-AS</t>
        </is>
      </c>
      <c r="F83" s="5" t="inlineStr">
        <is>
          <t>Principado de Asturias</t>
        </is>
      </c>
      <c r="G83" s="5" t="inlineStr">
        <is>
          <t>Asturias</t>
        </is>
      </c>
      <c r="H83" s="5" t="inlineStr">
        <is>
          <t>Villanueva</t>
        </is>
      </c>
      <c r="I83" s="5" t="n"/>
      <c r="J83" s="5" t="inlineStr">
        <is>
          <t>33115</t>
        </is>
      </c>
      <c r="K83" s="5" t="inlineStr">
        <is>
          <t>Villa tecnológica El Sabil, Crta AS-228 Km-12</t>
        </is>
      </c>
      <c r="L83" s="5" t="n">
        <v>43.526318</v>
      </c>
      <c r="M83" s="5" t="n">
        <v>-6.70487</v>
      </c>
      <c r="N83" s="5" t="inlineStr">
        <is>
          <t>restaurant</t>
        </is>
      </c>
      <c r="O83" s="5" t="inlineStr">
        <is>
          <t>asturiana, espanola</t>
        </is>
      </c>
      <c r="P83" s="5" t="inlineStr">
        <is>
          <t>€€</t>
        </is>
      </c>
      <c r="Q83" s="5" t="inlineStr">
        <is>
          <t>lunch, dinner</t>
        </is>
      </c>
      <c r="R83" s="6" t="inlineStr">
        <is>
          <t>pending_verification</t>
        </is>
      </c>
      <c r="S83" s="5" t="n"/>
      <c r="T83" s="5" t="n"/>
      <c r="U83" s="5" t="n"/>
      <c r="V83" s="5" t="inlineStr">
        <is>
          <t>ACEPA-Liste. Domain-Name 'vernasingluten.es' deutet auf 100% GF. PRÜFEN.</t>
        </is>
      </c>
      <c r="W83" s="5" t="n"/>
      <c r="X83" s="5" t="b">
        <v>0</v>
      </c>
      <c r="Y83" s="5" t="b">
        <v>0</v>
      </c>
      <c r="Z83" s="5" t="inlineStr">
        <is>
          <t>ACEPA</t>
        </is>
      </c>
      <c r="AA83" s="5" t="inlineStr">
        <is>
          <t>+34647857638</t>
        </is>
      </c>
      <c r="AB83" s="5" t="n"/>
      <c r="AC83" s="5" t="n"/>
      <c r="AD83" s="5" t="inlineStr">
        <is>
          <t>https://vernasingluten.es</t>
        </is>
      </c>
      <c r="AE83" s="5" t="n"/>
      <c r="AF83" s="5" t="n"/>
      <c r="AG83" s="5" t="n"/>
      <c r="AH83" s="5" t="n"/>
      <c r="AI83" s="5" t="inlineStr">
        <is>
          <t>Restaurante sin gluten en Villanueva, Asturias.</t>
        </is>
      </c>
      <c r="AJ83" s="5" t="inlineStr">
        <is>
          <t>Gluten-free restaurant in Villanueva, Asturias.</t>
        </is>
      </c>
      <c r="AK83" s="5" t="inlineStr">
        <is>
          <t>Glutenfreies Restaurant in Villanueva, Asturien.</t>
        </is>
      </c>
      <c r="AL83" s="5" t="n"/>
      <c r="AM83" s="5" t="inlineStr">
        <is>
          <t>regional_association</t>
        </is>
      </c>
      <c r="AN83" s="5" t="inlineStr">
        <is>
          <t>asociacionceliacosasturias.org</t>
        </is>
      </c>
      <c r="AO83" s="5" t="inlineStr">
        <is>
          <t>2026-04-25</t>
        </is>
      </c>
      <c r="AP83" s="5" t="inlineStr">
        <is>
          <t>2026-04-25</t>
        </is>
      </c>
    </row>
    <row r="84" ht="80.09999999999999" customHeight="1">
      <c r="A84" s="5" t="inlineStr">
        <is>
          <t>es_cn_001</t>
        </is>
      </c>
      <c r="B84" s="5" t="inlineStr">
        <is>
          <t>18 Grados Sin Gluten</t>
        </is>
      </c>
      <c r="C84" s="5" t="inlineStr">
        <is>
          <t>18-grados-sin-gluten-las-palmas</t>
        </is>
      </c>
      <c r="D84" s="5" t="inlineStr">
        <is>
          <t>ES</t>
        </is>
      </c>
      <c r="E84" s="5" t="inlineStr">
        <is>
          <t>ES-CN</t>
        </is>
      </c>
      <c r="F84" s="5" t="inlineStr">
        <is>
          <t>Canarias</t>
        </is>
      </c>
      <c r="G84" s="5" t="inlineStr">
        <is>
          <t>Las Palmas</t>
        </is>
      </c>
      <c r="H84" s="5" t="inlineStr">
        <is>
          <t>Las Palmas de Gran Canaria</t>
        </is>
      </c>
      <c r="I84" s="5" t="inlineStr">
        <is>
          <t>Guanarteme</t>
        </is>
      </c>
      <c r="J84" s="5" t="inlineStr">
        <is>
          <t>35010</t>
        </is>
      </c>
      <c r="K84" s="5" t="inlineStr">
        <is>
          <t>Calle Covadonga, 2</t>
        </is>
      </c>
      <c r="L84" s="5" t="n">
        <v>28.129691</v>
      </c>
      <c r="M84" s="5" t="n">
        <v>-15.446821</v>
      </c>
      <c r="N84" s="5" t="inlineStr">
        <is>
          <t>restaurant</t>
        </is>
      </c>
      <c r="O84" s="5" t="inlineStr">
        <is>
          <t>internacional, hamburguesas, pizzas, vegana</t>
        </is>
      </c>
      <c r="P84" s="5" t="inlineStr">
        <is>
          <t>€€</t>
        </is>
      </c>
      <c r="Q84" s="5" t="inlineStr">
        <is>
          <t>lunch, dinner</t>
        </is>
      </c>
      <c r="R84" s="6" t="inlineStr">
        <is>
          <t>pending_verification</t>
        </is>
      </c>
      <c r="S84" s="5" t="n"/>
      <c r="T84" s="5" t="n"/>
      <c r="U84" s="5" t="n"/>
      <c r="V84" s="5" t="inlineStr">
        <is>
          <t>ACSG-Verzeichnis: '+100% Restaurante. Toda la carta es sin gluten'. Local Guide Gran Canaria: 'todo el menú gluten-free... chicken fingers, croquetas, calamares, burgers y pizzas gluten free muy good'. PRÜFEN.</t>
        </is>
      </c>
      <c r="W84" s="5" t="n"/>
      <c r="X84" s="5" t="b">
        <v>0</v>
      </c>
      <c r="Y84" s="5" t="b">
        <v>0</v>
      </c>
      <c r="Z84" s="5" t="inlineStr">
        <is>
          <t>Asoceca</t>
        </is>
      </c>
      <c r="AA84" s="5" t="inlineStr">
        <is>
          <t>+34828999347</t>
        </is>
      </c>
      <c r="AB84" s="5" t="n"/>
      <c r="AC84" s="5" t="n"/>
      <c r="AD84" s="5" t="n"/>
      <c r="AE84" s="5" t="n"/>
      <c r="AF84" s="5" t="n"/>
      <c r="AG84" s="5" t="n"/>
      <c r="AH84" s="5" t="n"/>
      <c r="AI84" s="5" t="inlineStr">
        <is>
          <t>Restaurante 100% sin gluten en Las Palmas con menú variado: hamburguesas, pizzas, croquetas.</t>
        </is>
      </c>
      <c r="AJ84" s="5" t="inlineStr">
        <is>
          <t>100% gluten-free restaurant in Las Palmas with varied menu: burgers, pizzas, croquettes.</t>
        </is>
      </c>
      <c r="AK84" s="5" t="inlineStr">
        <is>
          <t>100% glutenfreies Restaurant in Las Palmas mit abwechslungsreicher Karte: Burger, Pizzen, Kroketten.</t>
        </is>
      </c>
      <c r="AL84" s="5" t="n"/>
      <c r="AM84" s="5" t="inlineStr">
        <is>
          <t>regional_association</t>
        </is>
      </c>
      <c r="AN84" s="5" t="inlineStr">
        <is>
          <t>celiacosmadrid.org + localguidegrancanaria.com (Stand 2024-2025)</t>
        </is>
      </c>
      <c r="AO84" s="5" t="inlineStr">
        <is>
          <t>2026-04-25</t>
        </is>
      </c>
      <c r="AP84" s="5" t="inlineStr">
        <is>
          <t>2026-04-25</t>
        </is>
      </c>
    </row>
    <row r="85" ht="80.09999999999999" customHeight="1">
      <c r="A85" s="5" t="inlineStr">
        <is>
          <t>es_cn_002</t>
        </is>
      </c>
      <c r="B85" s="5" t="inlineStr">
        <is>
          <t>Restaurante 18 Grados (Las Canteras)</t>
        </is>
      </c>
      <c r="C85" s="5" t="inlineStr">
        <is>
          <t>18-grados-las-canteras</t>
        </is>
      </c>
      <c r="D85" s="5" t="inlineStr">
        <is>
          <t>ES</t>
        </is>
      </c>
      <c r="E85" s="5" t="inlineStr">
        <is>
          <t>ES-CN</t>
        </is>
      </c>
      <c r="F85" s="5" t="inlineStr">
        <is>
          <t>Canarias</t>
        </is>
      </c>
      <c r="G85" s="5" t="inlineStr">
        <is>
          <t>Las Palmas</t>
        </is>
      </c>
      <c r="H85" s="5" t="inlineStr">
        <is>
          <t>Las Palmas de Gran Canaria</t>
        </is>
      </c>
      <c r="I85" s="5" t="inlineStr">
        <is>
          <t>Las Canteras</t>
        </is>
      </c>
      <c r="J85" s="5" t="n"/>
      <c r="K85" s="5" t="inlineStr">
        <is>
          <t>cerca del Auditorio Alfredo Kraus y Playa de las Canteras</t>
        </is>
      </c>
      <c r="L85" s="5" t="n">
        <v>28.128869</v>
      </c>
      <c r="M85" s="5" t="n">
        <v>-15.434902</v>
      </c>
      <c r="N85" s="5" t="inlineStr">
        <is>
          <t>restaurant</t>
        </is>
      </c>
      <c r="O85" s="5" t="inlineStr">
        <is>
          <t>internacional, vegana</t>
        </is>
      </c>
      <c r="P85" s="5" t="inlineStr">
        <is>
          <t>€€€</t>
        </is>
      </c>
      <c r="Q85" s="5" t="inlineStr">
        <is>
          <t>lunch, dinner</t>
        </is>
      </c>
      <c r="R85" s="6" t="inlineStr">
        <is>
          <t>pending_verification</t>
        </is>
      </c>
      <c r="S85" s="5" t="n"/>
      <c r="T85" s="5" t="n"/>
      <c r="U85" s="5" t="n"/>
      <c r="V85" s="5" t="inlineStr">
        <is>
          <t>Disfrutando sin Gluten: 'Restaurante 100% sin gluten ubicado en la Playa de las Canteras... avalado por Asoceca'. Möglicherweise Schwesterbetrieb von 18 Grados. PRÜFEN: Adresse, Beziehung zu 18 Grados Covadonga.</t>
        </is>
      </c>
      <c r="W85" s="5" t="n"/>
      <c r="X85" s="5" t="b">
        <v>0</v>
      </c>
      <c r="Y85" s="5" t="b">
        <v>0</v>
      </c>
      <c r="Z85" s="5" t="inlineStr">
        <is>
          <t>Asoceca</t>
        </is>
      </c>
      <c r="AA85" s="5" t="n"/>
      <c r="AB85" s="5" t="n"/>
      <c r="AC85" s="5" t="n"/>
      <c r="AD85" s="5" t="n"/>
      <c r="AE85" s="5" t="n"/>
      <c r="AF85" s="5" t="n"/>
      <c r="AG85" s="5" t="n"/>
      <c r="AH85" s="5" t="n"/>
      <c r="AI85" s="5" t="inlineStr">
        <is>
          <t>Restaurante 100% sin gluten cerca del Auditorio Alfredo Kraus y la playa de las Canteras.</t>
        </is>
      </c>
      <c r="AJ85" s="5" t="inlineStr">
        <is>
          <t>100% gluten-free restaurant near Alfredo Kraus Auditorium and Las Canteras beach.</t>
        </is>
      </c>
      <c r="AK85" s="5" t="inlineStr">
        <is>
          <t>100% glutenfreies Restaurant nahe dem Alfredo-Kraus-Auditorium und Strand Las Canteras.</t>
        </is>
      </c>
      <c r="AL85" s="5" t="n"/>
      <c r="AM85" s="5" t="inlineStr">
        <is>
          <t>regional_association</t>
        </is>
      </c>
      <c r="AN85" s="5" t="inlineStr">
        <is>
          <t>disfrutandosingluten.es (Stand 05/2025)</t>
        </is>
      </c>
      <c r="AO85" s="5" t="inlineStr">
        <is>
          <t>2026-04-25</t>
        </is>
      </c>
      <c r="AP85" s="5" t="inlineStr">
        <is>
          <t>2026-04-25</t>
        </is>
      </c>
    </row>
    <row r="86" ht="80.09999999999999" customHeight="1">
      <c r="A86" s="5" t="inlineStr">
        <is>
          <t>es_cn_003</t>
        </is>
      </c>
      <c r="B86" s="5" t="inlineStr">
        <is>
          <t>Cokí</t>
        </is>
      </c>
      <c r="C86" s="5" t="inlineStr">
        <is>
          <t>coki-las-palmas</t>
        </is>
      </c>
      <c r="D86" s="5" t="inlineStr">
        <is>
          <t>ES</t>
        </is>
      </c>
      <c r="E86" s="5" t="inlineStr">
        <is>
          <t>ES-CN</t>
        </is>
      </c>
      <c r="F86" s="5" t="inlineStr">
        <is>
          <t>Canarias</t>
        </is>
      </c>
      <c r="G86" s="5" t="inlineStr">
        <is>
          <t>Las Palmas</t>
        </is>
      </c>
      <c r="H86" s="5" t="inlineStr">
        <is>
          <t>Las Palmas de Gran Canaria</t>
        </is>
      </c>
      <c r="I86" s="5" t="inlineStr">
        <is>
          <t>Triana</t>
        </is>
      </c>
      <c r="J86" s="5" t="inlineStr">
        <is>
          <t>35002</t>
        </is>
      </c>
      <c r="K86" s="5" t="inlineStr">
        <is>
          <t>Calle de Perdomo, 20, 1º</t>
        </is>
      </c>
      <c r="L86" s="5" t="n">
        <v>28.128869</v>
      </c>
      <c r="M86" s="5" t="n">
        <v>-15.434902</v>
      </c>
      <c r="N86" s="5" t="inlineStr">
        <is>
          <t>restaurant</t>
        </is>
      </c>
      <c r="O86" s="5" t="inlineStr">
        <is>
          <t>internacional, hamburguesas, pasta</t>
        </is>
      </c>
      <c r="P86" s="5" t="inlineStr">
        <is>
          <t>€€</t>
        </is>
      </c>
      <c r="Q86" s="5" t="inlineStr">
        <is>
          <t>lunch, dinner</t>
        </is>
      </c>
      <c r="R86" s="6" t="inlineStr">
        <is>
          <t>pending_verification</t>
        </is>
      </c>
      <c r="S86" s="5" t="n"/>
      <c r="T86" s="5" t="n"/>
      <c r="U86" s="5" t="n"/>
      <c r="V86" s="5" t="inlineStr">
        <is>
          <t>Celiaquita: 'cokigur deliciosos y 100% sin gluten... Asociación de celíacos de Las Palmas'. UNKLAR ob 100% GF — 'cuida con resguardo la preparación de los alimentos sin gluten' deutet eher auf Mischbetrieb. KLÄRUNGSBEDARF.</t>
        </is>
      </c>
      <c r="W86" s="5" t="n"/>
      <c r="X86" s="5" t="b">
        <v>0</v>
      </c>
      <c r="Y86" s="5" t="b">
        <v>0</v>
      </c>
      <c r="Z86" s="5" t="inlineStr">
        <is>
          <t>Asoceca</t>
        </is>
      </c>
      <c r="AA86" s="5" t="n"/>
      <c r="AB86" s="5" t="n"/>
      <c r="AC86" s="5" t="n"/>
      <c r="AD86" s="5" t="n"/>
      <c r="AE86" s="5" t="n"/>
      <c r="AF86" s="5" t="n"/>
      <c r="AG86" s="5" t="n"/>
      <c r="AH86" s="5" t="n"/>
      <c r="AI86" s="5" t="n"/>
      <c r="AJ86" s="5" t="n"/>
      <c r="AK86" s="5" t="n"/>
      <c r="AL86" s="5" t="n"/>
      <c r="AM86" s="5" t="inlineStr">
        <is>
          <t>blog_research</t>
        </is>
      </c>
      <c r="AN86" s="5" t="inlineStr">
        <is>
          <t>celiaquita.com — Status 100% UNKLAR</t>
        </is>
      </c>
      <c r="AO86" s="5" t="inlineStr">
        <is>
          <t>2026-04-25</t>
        </is>
      </c>
      <c r="AP86" s="5" t="inlineStr">
        <is>
          <t>2026-04-25</t>
        </is>
      </c>
    </row>
    <row r="87" ht="80.09999999999999" customHeight="1">
      <c r="A87" s="5" t="inlineStr">
        <is>
          <t>es_cn_004</t>
        </is>
      </c>
      <c r="B87" s="5" t="inlineStr">
        <is>
          <t>Cervecería El Dojo</t>
        </is>
      </c>
      <c r="C87" s="5" t="inlineStr">
        <is>
          <t>cerveceria-el-dojo-telde</t>
        </is>
      </c>
      <c r="D87" s="5" t="inlineStr">
        <is>
          <t>ES</t>
        </is>
      </c>
      <c r="E87" s="5" t="inlineStr">
        <is>
          <t>ES-CN</t>
        </is>
      </c>
      <c r="F87" s="5" t="inlineStr">
        <is>
          <t>Canarias</t>
        </is>
      </c>
      <c r="G87" s="5" t="inlineStr">
        <is>
          <t>Las Palmas</t>
        </is>
      </c>
      <c r="H87" s="5" t="inlineStr">
        <is>
          <t>Telde</t>
        </is>
      </c>
      <c r="I87" s="5" t="n"/>
      <c r="J87" s="5" t="n"/>
      <c r="K87" s="5" t="n"/>
      <c r="L87" s="5" t="n">
        <v>27.998454</v>
      </c>
      <c r="M87" s="5" t="n">
        <v>-15.416676</v>
      </c>
      <c r="N87" s="5" t="inlineStr">
        <is>
          <t>bar_tapas</t>
        </is>
      </c>
      <c r="O87" s="5" t="inlineStr">
        <is>
          <t>internacional</t>
        </is>
      </c>
      <c r="P87" s="5" t="inlineStr">
        <is>
          <t>€€</t>
        </is>
      </c>
      <c r="Q87" s="5" t="inlineStr">
        <is>
          <t>lunch, dinner, snacks</t>
        </is>
      </c>
      <c r="R87" s="6" t="inlineStr">
        <is>
          <t>pending_verification</t>
        </is>
      </c>
      <c r="S87" s="5" t="n"/>
      <c r="T87" s="5" t="n"/>
      <c r="U87" s="5" t="n"/>
      <c r="V87" s="5" t="inlineStr">
        <is>
          <t>Celiaquita TOP-Empfehlung: 'espectacular local perfecto para tomar cervezas artesanas y comer comida sin gluten en Telde. Numerosas cervezas sin gluten nacionales e internacionales en botella, en lata y hasta en grifo'. PRÜFEN: Adresse, Status 100% GF.</t>
        </is>
      </c>
      <c r="W87" s="5" t="n"/>
      <c r="X87" s="5" t="b">
        <v>0</v>
      </c>
      <c r="Y87" s="5" t="b">
        <v>0</v>
      </c>
      <c r="Z87" s="5" t="inlineStr">
        <is>
          <t>Asoceca</t>
        </is>
      </c>
      <c r="AA87" s="5" t="n"/>
      <c r="AB87" s="5" t="n"/>
      <c r="AC87" s="5" t="n"/>
      <c r="AD87" s="5" t="n"/>
      <c r="AE87" s="5" t="n"/>
      <c r="AF87" s="5" t="n"/>
      <c r="AG87" s="5" t="n"/>
      <c r="AH87" s="5" t="n"/>
      <c r="AI87" s="5" t="n"/>
      <c r="AJ87" s="5" t="n"/>
      <c r="AK87" s="5" t="n"/>
      <c r="AL87" s="5" t="n"/>
      <c r="AM87" s="5" t="inlineStr">
        <is>
          <t>blog_research</t>
        </is>
      </c>
      <c r="AN87" s="5" t="inlineStr">
        <is>
          <t>celiaquita.com (Stand 12/2024) — Status 100% UNKLAR</t>
        </is>
      </c>
      <c r="AO87" s="5" t="inlineStr">
        <is>
          <t>2026-04-25</t>
        </is>
      </c>
      <c r="AP87" s="5" t="inlineStr">
        <is>
          <t>2026-04-25</t>
        </is>
      </c>
    </row>
    <row r="88" ht="80.09999999999999" customHeight="1">
      <c r="A88" s="5" t="inlineStr">
        <is>
          <t>es_cn_005</t>
        </is>
      </c>
      <c r="B88" s="5" t="inlineStr">
        <is>
          <t>Restaurante Arinaga 100% Sin Gluten</t>
        </is>
      </c>
      <c r="C88" s="5" t="inlineStr">
        <is>
          <t>restaurante-arinaga-sin-gluten</t>
        </is>
      </c>
      <c r="D88" s="5" t="inlineStr">
        <is>
          <t>ES</t>
        </is>
      </c>
      <c r="E88" s="5" t="inlineStr">
        <is>
          <t>ES-CN</t>
        </is>
      </c>
      <c r="F88" s="5" t="inlineStr">
        <is>
          <t>Canarias</t>
        </is>
      </c>
      <c r="G88" s="5" t="inlineStr">
        <is>
          <t>Las Palmas</t>
        </is>
      </c>
      <c r="H88" s="5" t="inlineStr">
        <is>
          <t>Arinaga</t>
        </is>
      </c>
      <c r="I88" s="5" t="n"/>
      <c r="J88" s="5" t="inlineStr">
        <is>
          <t>35118</t>
        </is>
      </c>
      <c r="K88" s="5" t="inlineStr">
        <is>
          <t>Calle Alcalá Galiano, 17</t>
        </is>
      </c>
      <c r="L88" s="5" t="n">
        <v>27.856758</v>
      </c>
      <c r="M88" s="5" t="n">
        <v>-15.393177</v>
      </c>
      <c r="N88" s="5" t="inlineStr">
        <is>
          <t>restaurant</t>
        </is>
      </c>
      <c r="O88" s="5" t="inlineStr">
        <is>
          <t>espanola, internacional</t>
        </is>
      </c>
      <c r="P88" s="5" t="inlineStr">
        <is>
          <t>€€</t>
        </is>
      </c>
      <c r="Q88" s="5" t="inlineStr">
        <is>
          <t>lunch, dinner</t>
        </is>
      </c>
      <c r="R88" s="6" t="inlineStr">
        <is>
          <t>pending_verification</t>
        </is>
      </c>
      <c r="S88" s="5" t="n"/>
      <c r="T88" s="5" t="n"/>
      <c r="U88" s="5" t="n"/>
      <c r="V88" s="5" t="inlineStr">
        <is>
          <t>Trotamundos sin Gluten: 'restaurante 100% sin gluten con una gran calidad y un trato estupendo... amplia variedad de platos típicos canarios, y un menú del día muy económico'. PRÜFEN: aktueller Name, Status (Quelle alt).</t>
        </is>
      </c>
      <c r="W88" s="5" t="n"/>
      <c r="X88" s="5" t="b">
        <v>0</v>
      </c>
      <c r="Y88" s="5" t="b">
        <v>0</v>
      </c>
      <c r="Z88" s="5" t="inlineStr">
        <is>
          <t>Asoceca</t>
        </is>
      </c>
      <c r="AA88" s="5" t="n"/>
      <c r="AB88" s="5" t="n"/>
      <c r="AC88" s="5" t="n"/>
      <c r="AD88" s="5" t="n"/>
      <c r="AE88" s="5" t="n"/>
      <c r="AF88" s="5" t="n"/>
      <c r="AG88" s="5" t="n"/>
      <c r="AH88" s="5" t="n"/>
      <c r="AI88" s="5" t="inlineStr">
        <is>
          <t>Restaurante 100% sin gluten en Arinaga, Gran Canaria. Cocina canaria tradicional.</t>
        </is>
      </c>
      <c r="AJ88" s="5" t="inlineStr">
        <is>
          <t>100% gluten-free restaurant in Arinaga, Gran Canaria. Traditional Canarian cuisine.</t>
        </is>
      </c>
      <c r="AK88" s="5" t="inlineStr">
        <is>
          <t>100% glutenfreies Restaurant in Arinaga, Gran Canaria. Traditionelle kanarische Küche.</t>
        </is>
      </c>
      <c r="AL88" s="5" t="n"/>
      <c r="AM88" s="5" t="inlineStr">
        <is>
          <t>blog_research</t>
        </is>
      </c>
      <c r="AN88" s="5" t="inlineStr">
        <is>
          <t>trotamundossingluten.wordpress.com (alte Quelle, Status checken)</t>
        </is>
      </c>
      <c r="AO88" s="5" t="inlineStr">
        <is>
          <t>2026-04-25</t>
        </is>
      </c>
      <c r="AP88" s="5" t="inlineStr">
        <is>
          <t>2026-04-25</t>
        </is>
      </c>
    </row>
    <row r="89" ht="80.09999999999999" customHeight="1">
      <c r="A89" s="5" t="inlineStr">
        <is>
          <t>es_cn_006</t>
        </is>
      </c>
      <c r="B89" s="5" t="inlineStr">
        <is>
          <t>Liágora Canaria</t>
        </is>
      </c>
      <c r="C89" s="5" t="inlineStr">
        <is>
          <t>liagora-canaria-las-palmas</t>
        </is>
      </c>
      <c r="D89" s="5" t="inlineStr">
        <is>
          <t>ES</t>
        </is>
      </c>
      <c r="E89" s="5" t="inlineStr">
        <is>
          <t>ES-CN</t>
        </is>
      </c>
      <c r="F89" s="5" t="inlineStr">
        <is>
          <t>Canarias</t>
        </is>
      </c>
      <c r="G89" s="5" t="inlineStr">
        <is>
          <t>Las Palmas</t>
        </is>
      </c>
      <c r="H89" s="5" t="inlineStr">
        <is>
          <t>Las Palmas de Gran Canaria</t>
        </is>
      </c>
      <c r="I89" s="5" t="n"/>
      <c r="J89" s="5" t="n"/>
      <c r="K89" s="5" t="n"/>
      <c r="L89" s="5" t="n">
        <v>28.128869</v>
      </c>
      <c r="M89" s="5" t="n">
        <v>-15.434902</v>
      </c>
      <c r="N89" s="5" t="inlineStr">
        <is>
          <t>restaurant</t>
        </is>
      </c>
      <c r="O89" s="5" t="inlineStr">
        <is>
          <t>espanola, arroces, mariscos</t>
        </is>
      </c>
      <c r="P89" s="5" t="inlineStr">
        <is>
          <t>€€€</t>
        </is>
      </c>
      <c r="Q89" s="5" t="inlineStr">
        <is>
          <t>lunch, dinner</t>
        </is>
      </c>
      <c r="R89" s="6" t="inlineStr">
        <is>
          <t>pending_verification</t>
        </is>
      </c>
      <c r="S89" s="5" t="n"/>
      <c r="T89" s="5" t="n"/>
      <c r="U89" s="5" t="n"/>
      <c r="V89" s="5" t="inlineStr">
        <is>
          <t>Local Guide Gran Canaria: 'restaurante especializado en comida canaria, arroz, pescado y mariscos... apparently 100% gluten-free alternatives'. UNKLAR — 'apparently' = unsicher. KLÄRUNGSBEDARF. Möglicherweise Mischbetrieb.</t>
        </is>
      </c>
      <c r="W89" s="5" t="n"/>
      <c r="X89" s="5" t="b">
        <v>0</v>
      </c>
      <c r="Y89" s="5" t="b">
        <v>0</v>
      </c>
      <c r="Z89" s="5" t="n"/>
      <c r="AA89" s="5" t="n"/>
      <c r="AB89" s="5" t="n"/>
      <c r="AC89" s="5" t="n"/>
      <c r="AD89" s="5" t="n"/>
      <c r="AE89" s="5" t="n"/>
      <c r="AF89" s="5" t="n"/>
      <c r="AG89" s="5" t="n"/>
      <c r="AH89" s="5" t="n"/>
      <c r="AI89" s="5" t="n"/>
      <c r="AJ89" s="5" t="n"/>
      <c r="AK89" s="5" t="n"/>
      <c r="AL89" s="5" t="n"/>
      <c r="AM89" s="5" t="inlineStr">
        <is>
          <t>blog_research</t>
        </is>
      </c>
      <c r="AN89" s="5" t="inlineStr">
        <is>
          <t>localguidegrancanaria.com — Quelle unsicher ('apparently')</t>
        </is>
      </c>
      <c r="AO89" s="5" t="inlineStr">
        <is>
          <t>2026-04-25</t>
        </is>
      </c>
      <c r="AP89" s="5" t="inlineStr">
        <is>
          <t>2026-04-25</t>
        </is>
      </c>
    </row>
    <row r="90" ht="80.09999999999999" customHeight="1">
      <c r="A90" s="5" t="inlineStr">
        <is>
          <t>es_ar_001</t>
        </is>
      </c>
      <c r="B90" s="5" t="inlineStr">
        <is>
          <t>La Jaula de Grillos</t>
        </is>
      </c>
      <c r="C90" s="5" t="inlineStr">
        <is>
          <t>la-jaula-de-grillos-zaragoza</t>
        </is>
      </c>
      <c r="D90" s="5" t="inlineStr">
        <is>
          <t>ES</t>
        </is>
      </c>
      <c r="E90" s="5" t="inlineStr">
        <is>
          <t>ES-AR</t>
        </is>
      </c>
      <c r="F90" s="5" t="inlineStr">
        <is>
          <t>Aragón</t>
        </is>
      </c>
      <c r="G90" s="5" t="inlineStr">
        <is>
          <t>Zaragoza</t>
        </is>
      </c>
      <c r="H90" s="5" t="inlineStr">
        <is>
          <t>Zaragoza</t>
        </is>
      </c>
      <c r="I90" s="5" t="n"/>
      <c r="J90" s="5" t="n"/>
      <c r="K90" s="5" t="inlineStr">
        <is>
          <t>C. Juan de Bruil, 19</t>
        </is>
      </c>
      <c r="L90" s="5" t="n">
        <v>41.691585</v>
      </c>
      <c r="M90" s="5" t="n">
        <v>-0.910127</v>
      </c>
      <c r="N90" s="5" t="inlineStr">
        <is>
          <t>restaurant</t>
        </is>
      </c>
      <c r="O90" s="5" t="inlineStr">
        <is>
          <t>espanola, tapas, internacional, hamburguesas, pizzas</t>
        </is>
      </c>
      <c r="P90" s="5" t="inlineStr">
        <is>
          <t>€€</t>
        </is>
      </c>
      <c r="Q90" s="5" t="inlineStr">
        <is>
          <t>lunch, dinner, snacks</t>
        </is>
      </c>
      <c r="R90" s="6" t="inlineStr">
        <is>
          <t>pending_verification</t>
        </is>
      </c>
      <c r="S90" s="5" t="n"/>
      <c r="T90" s="5" t="n"/>
      <c r="U90" s="5" t="n"/>
      <c r="V90" s="5" t="inlineStr">
        <is>
          <t>Erstes 100% GF-Restaurant Aragóns. ACA-zertifiziert. Mehrfach bestätigte 100%-GF-Quelle (Disfrutando sin Gluten, unbuendiaenzaragoza, Rubén Isarría). PRÜFEN.</t>
        </is>
      </c>
      <c r="W90" s="5" t="n"/>
      <c r="X90" s="5" t="b">
        <v>0</v>
      </c>
      <c r="Y90" s="5" t="b">
        <v>0</v>
      </c>
      <c r="Z90" s="5" t="inlineStr">
        <is>
          <t>ACA</t>
        </is>
      </c>
      <c r="AA90" s="5" t="inlineStr">
        <is>
          <t>+34976046909</t>
        </is>
      </c>
      <c r="AB90" s="5" t="n"/>
      <c r="AC90" s="5" t="n"/>
      <c r="AD90" s="5" t="inlineStr">
        <is>
          <t>https://www.lajauladegrilloszaragoza.com</t>
        </is>
      </c>
      <c r="AE90" s="5" t="n"/>
      <c r="AF90" s="5" t="n"/>
      <c r="AG90" s="5" t="n"/>
      <c r="AH90" s="5" t="n"/>
      <c r="AI90" s="5" t="inlineStr">
        <is>
          <t>Primer restaurante 100% sin gluten de Aragón. Tapas, croquetas, pizzas, hamburguesas. ACA-certificado.</t>
        </is>
      </c>
      <c r="AJ90" s="5" t="inlineStr">
        <is>
          <t>Aragón's first 100% gluten-free restaurant. Tapas, croquettes, pizzas, burgers. ACA-certified.</t>
        </is>
      </c>
      <c r="AK90" s="5" t="inlineStr">
        <is>
          <t>Aragóns erstes 100% glutenfreies Restaurant. Tapas, Kroketten, Pizzen, Burger. ACA-zertifiziert.</t>
        </is>
      </c>
      <c r="AL90" s="5" t="n"/>
      <c r="AM90" s="5" t="inlineStr">
        <is>
          <t>regional_association</t>
        </is>
      </c>
      <c r="AN90" s="5" t="inlineStr">
        <is>
          <t>disfrutandosingluten.es + unbuendiaenzaragoza.com + rubenisarria.com (Stand 2024-2026)</t>
        </is>
      </c>
      <c r="AO90" s="5" t="inlineStr">
        <is>
          <t>2026-04-25</t>
        </is>
      </c>
      <c r="AP90" s="5" t="inlineStr">
        <is>
          <t>2026-04-25</t>
        </is>
      </c>
    </row>
    <row r="91" ht="80.09999999999999" customHeight="1">
      <c r="A91" s="5" t="inlineStr">
        <is>
          <t>es_ar_002</t>
        </is>
      </c>
      <c r="B91" s="5" t="inlineStr">
        <is>
          <t>Labamba Cook Art</t>
        </is>
      </c>
      <c r="C91" s="5" t="inlineStr">
        <is>
          <t>labamba-cook-art-zaragoza</t>
        </is>
      </c>
      <c r="D91" s="5" t="inlineStr">
        <is>
          <t>ES</t>
        </is>
      </c>
      <c r="E91" s="5" t="inlineStr">
        <is>
          <t>ES-AR</t>
        </is>
      </c>
      <c r="F91" s="5" t="inlineStr">
        <is>
          <t>Aragón</t>
        </is>
      </c>
      <c r="G91" s="5" t="inlineStr">
        <is>
          <t>Zaragoza</t>
        </is>
      </c>
      <c r="H91" s="5" t="inlineStr">
        <is>
          <t>Zaragoza</t>
        </is>
      </c>
      <c r="I91" s="5" t="inlineStr">
        <is>
          <t>Casco Antiguo</t>
        </is>
      </c>
      <c r="J91" s="5" t="inlineStr">
        <is>
          <t>50003</t>
        </is>
      </c>
      <c r="K91" s="5" t="inlineStr">
        <is>
          <t>C. de las Vírgenes, 7</t>
        </is>
      </c>
      <c r="L91" s="5" t="n">
        <v>41.654292</v>
      </c>
      <c r="M91" s="5" t="n">
        <v>-0.880131</v>
      </c>
      <c r="N91" s="5" t="inlineStr">
        <is>
          <t>restaurant</t>
        </is>
      </c>
      <c r="O91" s="5" t="inlineStr">
        <is>
          <t>internacional</t>
        </is>
      </c>
      <c r="P91" s="5" t="inlineStr">
        <is>
          <t>€€€</t>
        </is>
      </c>
      <c r="Q91" s="5" t="inlineStr">
        <is>
          <t>dinner</t>
        </is>
      </c>
      <c r="R91" s="6" t="inlineStr">
        <is>
          <t>pending_verification</t>
        </is>
      </c>
      <c r="S91" s="5" t="n"/>
      <c r="T91" s="5" t="n"/>
      <c r="U91" s="5" t="n"/>
      <c r="V91" s="5" t="inlineStr">
        <is>
          <t>Cocina-Fusión-Restaurant mit Tasting-Menü (6 Gänge), wechselt alle 3 Monate. unbuendiaenzaragoza: 'Todos los platos son sin gluten'. ACA-zertifiziert. Schwesterbetrieb Bambita Restaurante (C. del Heroísmo, 47). PRÜFEN.</t>
        </is>
      </c>
      <c r="W91" s="5" t="n"/>
      <c r="X91" s="5" t="b">
        <v>0</v>
      </c>
      <c r="Y91" s="5" t="b">
        <v>0</v>
      </c>
      <c r="Z91" s="5" t="inlineStr">
        <is>
          <t>ACA</t>
        </is>
      </c>
      <c r="AA91" s="5" t="inlineStr">
        <is>
          <t>+34635438970</t>
        </is>
      </c>
      <c r="AB91" s="5" t="n"/>
      <c r="AC91" s="5" t="n"/>
      <c r="AD91" s="5" t="inlineStr">
        <is>
          <t>https://www.labambarestaurante.com</t>
        </is>
      </c>
      <c r="AE91" s="5" t="n"/>
      <c r="AF91" s="5" t="n"/>
      <c r="AG91" s="5" t="n"/>
      <c r="AH91" s="5" t="n"/>
      <c r="AI91" s="5" t="inlineStr">
        <is>
          <t>Restaurante de cocina fusión con menú degustación 100% sin gluten en el casco antiguo de Zaragoza.</t>
        </is>
      </c>
      <c r="AJ91" s="5" t="inlineStr">
        <is>
          <t>Fusion restaurant with 100% gluten-free tasting menu in Zaragoza's old town.</t>
        </is>
      </c>
      <c r="AK91" s="5" t="inlineStr">
        <is>
          <t>Fusion-Restaurant mit 100% glutenfreiem Tasting-Menü in Zaragozas Altstadt.</t>
        </is>
      </c>
      <c r="AL91" s="5" t="n"/>
      <c r="AM91" s="5" t="inlineStr">
        <is>
          <t>regional_association</t>
        </is>
      </c>
      <c r="AN91" s="5" t="inlineStr">
        <is>
          <t>unbuendiaenzaragoza.com + rubenisarria.com (Stand 2025-2026)</t>
        </is>
      </c>
      <c r="AO91" s="5" t="inlineStr">
        <is>
          <t>2026-04-25</t>
        </is>
      </c>
      <c r="AP91" s="5" t="inlineStr">
        <is>
          <t>2026-04-25</t>
        </is>
      </c>
    </row>
    <row r="92" ht="80.09999999999999" customHeight="1">
      <c r="A92" s="5" t="inlineStr">
        <is>
          <t>es_ar_003</t>
        </is>
      </c>
      <c r="B92" s="5" t="inlineStr">
        <is>
          <t>De Moretti</t>
        </is>
      </c>
      <c r="C92" s="5" t="inlineStr">
        <is>
          <t>de-moretti-zaragoza</t>
        </is>
      </c>
      <c r="D92" s="5" t="inlineStr">
        <is>
          <t>ES</t>
        </is>
      </c>
      <c r="E92" s="5" t="inlineStr">
        <is>
          <t>ES-AR</t>
        </is>
      </c>
      <c r="F92" s="5" t="inlineStr">
        <is>
          <t>Aragón</t>
        </is>
      </c>
      <c r="G92" s="5" t="inlineStr">
        <is>
          <t>Zaragoza</t>
        </is>
      </c>
      <c r="H92" s="5" t="inlineStr">
        <is>
          <t>Zaragoza</t>
        </is>
      </c>
      <c r="I92" s="5" t="n"/>
      <c r="J92" s="5" t="n"/>
      <c r="K92" s="5" t="n"/>
      <c r="L92" s="5" t="n">
        <v>41.691585</v>
      </c>
      <c r="M92" s="5" t="n">
        <v>-0.910127</v>
      </c>
      <c r="N92" s="5" t="inlineStr">
        <is>
          <t>restaurant</t>
        </is>
      </c>
      <c r="O92" s="5" t="inlineStr">
        <is>
          <t>italiana, pasta, pizzas</t>
        </is>
      </c>
      <c r="P92" s="5" t="inlineStr">
        <is>
          <t>€€</t>
        </is>
      </c>
      <c r="Q92" s="5" t="inlineStr">
        <is>
          <t>lunch, dinner</t>
        </is>
      </c>
      <c r="R92" s="6" t="inlineStr">
        <is>
          <t>pending_verification</t>
        </is>
      </c>
      <c r="S92" s="5" t="n"/>
      <c r="T92" s="5" t="n"/>
      <c r="U92" s="5" t="n"/>
      <c r="V92" s="5" t="inlineStr">
        <is>
          <t>ComeCome Zaragoza: 'primer establecimiento en Aragón en ofrecer una carta 100% sin gluten' italienisch. unbuendiaenzaragoza: 'primer italiano 100% sin gluten con obrador propio en Aragón'. Eigene Pasta-Manufaktur. Eröffnet Sommer 2024/2025. PRÜFEN: Adresse.</t>
        </is>
      </c>
      <c r="W92" s="5" t="n"/>
      <c r="X92" s="5" t="b">
        <v>0</v>
      </c>
      <c r="Y92" s="5" t="b">
        <v>0</v>
      </c>
      <c r="Z92" s="5" t="inlineStr">
        <is>
          <t>ACA</t>
        </is>
      </c>
      <c r="AA92" s="5" t="n"/>
      <c r="AB92" s="5" t="n"/>
      <c r="AC92" s="5" t="n"/>
      <c r="AD92" s="5" t="n"/>
      <c r="AE92" s="5" t="n"/>
      <c r="AF92" s="5" t="n"/>
      <c r="AG92" s="5" t="n"/>
      <c r="AH92" s="5" t="n"/>
      <c r="AI92" s="5" t="inlineStr">
        <is>
          <t>Primer restaurante italiano 100% sin gluten de Aragón con obrador propio de pasta fresca.</t>
        </is>
      </c>
      <c r="AJ92" s="5" t="inlineStr">
        <is>
          <t>Aragón's first 100% gluten-free Italian restaurant with own fresh pasta production.</t>
        </is>
      </c>
      <c r="AK92" s="5" t="inlineStr">
        <is>
          <t>Aragóns erstes 100% glutenfreies italienisches Restaurant mit eigener frischer Pasta-Manufaktur.</t>
        </is>
      </c>
      <c r="AL92" s="5" t="n"/>
      <c r="AM92" s="5" t="inlineStr">
        <is>
          <t>blog_research</t>
        </is>
      </c>
      <c r="AN92" s="5" t="inlineStr">
        <is>
          <t>comecomezaragoza.es + unbuendiaenzaragoza.com (Stand 2024-2026)</t>
        </is>
      </c>
      <c r="AO92" s="5" t="inlineStr">
        <is>
          <t>2026-04-25</t>
        </is>
      </c>
      <c r="AP92" s="5" t="inlineStr">
        <is>
          <t>2026-04-25</t>
        </is>
      </c>
    </row>
    <row r="93" ht="80.09999999999999" customHeight="1">
      <c r="A93" s="5" t="inlineStr">
        <is>
          <t>es_ar_004</t>
        </is>
      </c>
      <c r="B93" s="5" t="inlineStr">
        <is>
          <t>Urbanita Gastrobar</t>
        </is>
      </c>
      <c r="C93" s="5" t="inlineStr">
        <is>
          <t>urbanita-gastrobar-zaragoza</t>
        </is>
      </c>
      <c r="D93" s="5" t="inlineStr">
        <is>
          <t>ES</t>
        </is>
      </c>
      <c r="E93" s="5" t="inlineStr">
        <is>
          <t>ES-AR</t>
        </is>
      </c>
      <c r="F93" s="5" t="inlineStr">
        <is>
          <t>Aragón</t>
        </is>
      </c>
      <c r="G93" s="5" t="inlineStr">
        <is>
          <t>Zaragoza</t>
        </is>
      </c>
      <c r="H93" s="5" t="inlineStr">
        <is>
          <t>Zaragoza</t>
        </is>
      </c>
      <c r="I93" s="5" t="n"/>
      <c r="J93" s="5" t="inlineStr">
        <is>
          <t>50008</t>
        </is>
      </c>
      <c r="K93" s="5" t="inlineStr">
        <is>
          <t>C. del Dr. Casas, 9</t>
        </is>
      </c>
      <c r="L93" s="5" t="n">
        <v>41.643388</v>
      </c>
      <c r="M93" s="5" t="n">
        <v>-0.883649</v>
      </c>
      <c r="N93" s="5" t="inlineStr">
        <is>
          <t>restaurant</t>
        </is>
      </c>
      <c r="O93" s="5" t="inlineStr">
        <is>
          <t>internacional, saludable</t>
        </is>
      </c>
      <c r="P93" s="5" t="inlineStr">
        <is>
          <t>€€</t>
        </is>
      </c>
      <c r="Q93" s="5" t="inlineStr">
        <is>
          <t>breakfast, brunch, lunch, dinner</t>
        </is>
      </c>
      <c r="R93" s="6" t="inlineStr">
        <is>
          <t>pending_verification</t>
        </is>
      </c>
      <c r="S93" s="5" t="n"/>
      <c r="T93" s="5" t="n"/>
      <c r="U93" s="5" t="n"/>
      <c r="V93" s="5" t="inlineStr">
        <is>
          <t>ComeCome Zaragoza: 'Urbanita Gastrobar, es un espacio 100% libre de gluten que ofrece una cocina fusión creativa'. Chef Alberto Brosed. PRÜFEN.</t>
        </is>
      </c>
      <c r="W93" s="5" t="n"/>
      <c r="X93" s="5" t="b">
        <v>0</v>
      </c>
      <c r="Y93" s="5" t="b">
        <v>0</v>
      </c>
      <c r="Z93" s="5" t="inlineStr">
        <is>
          <t>ACA</t>
        </is>
      </c>
      <c r="AA93" s="5" t="n"/>
      <c r="AB93" s="5" t="n"/>
      <c r="AC93" s="5" t="n"/>
      <c r="AD93" s="5" t="n"/>
      <c r="AE93" s="5" t="n"/>
      <c r="AF93" s="5" t="n"/>
      <c r="AG93" s="5" t="n"/>
      <c r="AH93" s="5" t="n"/>
      <c r="AI93" s="5" t="inlineStr">
        <is>
          <t>Gastrobar 100% sin gluten en Zaragoza con cocina fusión creativa y desayunos gourmet.</t>
        </is>
      </c>
      <c r="AJ93" s="5" t="inlineStr">
        <is>
          <t>100% gluten-free gastrobar in Zaragoza with creative fusion cuisine and gourmet breakfasts.</t>
        </is>
      </c>
      <c r="AK93" s="5" t="inlineStr">
        <is>
          <t>100% glutenfreie Gastrobar in Zaragoza mit kreativer Fusion-Küche und Gourmet-Frühstück.</t>
        </is>
      </c>
      <c r="AL93" s="5" t="n"/>
      <c r="AM93" s="5" t="inlineStr">
        <is>
          <t>blog_research</t>
        </is>
      </c>
      <c r="AN93" s="5" t="inlineStr">
        <is>
          <t>comecomezaragoza.es (Stand 01/2025)</t>
        </is>
      </c>
      <c r="AO93" s="5" t="inlineStr">
        <is>
          <t>2026-04-25</t>
        </is>
      </c>
      <c r="AP93" s="5" t="inlineStr">
        <is>
          <t>2026-04-25</t>
        </is>
      </c>
    </row>
    <row r="94" ht="80.09999999999999" customHeight="1">
      <c r="A94" s="5" t="inlineStr">
        <is>
          <t>es_ar_005</t>
        </is>
      </c>
      <c r="B94" s="5" t="inlineStr">
        <is>
          <t>El Truco</t>
        </is>
      </c>
      <c r="C94" s="5" t="inlineStr">
        <is>
          <t>el-truco-zaragoza</t>
        </is>
      </c>
      <c r="D94" s="5" t="inlineStr">
        <is>
          <t>ES</t>
        </is>
      </c>
      <c r="E94" s="5" t="inlineStr">
        <is>
          <t>ES-AR</t>
        </is>
      </c>
      <c r="F94" s="5" t="inlineStr">
        <is>
          <t>Aragón</t>
        </is>
      </c>
      <c r="G94" s="5" t="inlineStr">
        <is>
          <t>Zaragoza</t>
        </is>
      </c>
      <c r="H94" s="5" t="inlineStr">
        <is>
          <t>Zaragoza</t>
        </is>
      </c>
      <c r="I94" s="5" t="inlineStr">
        <is>
          <t>El Tubo</t>
        </is>
      </c>
      <c r="J94" s="5" t="n"/>
      <c r="K94" s="5" t="inlineStr">
        <is>
          <t>C. de los Estébanes, 2</t>
        </is>
      </c>
      <c r="L94" s="5" t="n">
        <v>41.691585</v>
      </c>
      <c r="M94" s="5" t="n">
        <v>-0.910127</v>
      </c>
      <c r="N94" s="5" t="inlineStr">
        <is>
          <t>bar_tapas</t>
        </is>
      </c>
      <c r="O94" s="5" t="inlineStr">
        <is>
          <t>espanola, tapas</t>
        </is>
      </c>
      <c r="P94" s="5" t="inlineStr">
        <is>
          <t>€€</t>
        </is>
      </c>
      <c r="Q94" s="5" t="inlineStr">
        <is>
          <t>lunch, dinner, snacks</t>
        </is>
      </c>
      <c r="R94" s="6" t="inlineStr">
        <is>
          <t>pending_verification</t>
        </is>
      </c>
      <c r="S94" s="5" t="n"/>
      <c r="T94" s="5" t="n"/>
      <c r="U94" s="5" t="n"/>
      <c r="V94" s="5" t="inlineStr">
        <is>
          <t>ComeCome + unbuendiaenzaragoza: 'Bar de tapas y raciones especializado en comida sin gluten en El Tubo... Todas las delicias en la carta son aptas para celíacos'. ACA-zertifiziert. PRÜFEN: 100%-Status klar.</t>
        </is>
      </c>
      <c r="W94" s="5" t="n"/>
      <c r="X94" s="5" t="b">
        <v>0</v>
      </c>
      <c r="Y94" s="5" t="b">
        <v>0</v>
      </c>
      <c r="Z94" s="5" t="inlineStr">
        <is>
          <t>ACA</t>
        </is>
      </c>
      <c r="AA94" s="5" t="n"/>
      <c r="AB94" s="5" t="n"/>
      <c r="AC94" s="5" t="n"/>
      <c r="AD94" s="5" t="n"/>
      <c r="AE94" s="5" t="n"/>
      <c r="AF94" s="5" t="n"/>
      <c r="AG94" s="5" t="n"/>
      <c r="AH94" s="5" t="n"/>
      <c r="AI94" s="5" t="inlineStr">
        <is>
          <t>Bar de tapas 100% sin gluten en pleno El Tubo de Zaragoza.</t>
        </is>
      </c>
      <c r="AJ94" s="5" t="inlineStr">
        <is>
          <t>100% gluten-free tapas bar in Zaragoza's El Tubo district.</t>
        </is>
      </c>
      <c r="AK94" s="5" t="inlineStr">
        <is>
          <t>100% glutenfreie Tapas-Bar in Zaragozas El Tubo.</t>
        </is>
      </c>
      <c r="AL94" s="5" t="n"/>
      <c r="AM94" s="5" t="inlineStr">
        <is>
          <t>blog_research</t>
        </is>
      </c>
      <c r="AN94" s="5" t="inlineStr">
        <is>
          <t>comecomezaragoza.es + unbuendiaenzaragoza.com (Stand 2025-2026)</t>
        </is>
      </c>
      <c r="AO94" s="5" t="inlineStr">
        <is>
          <t>2026-04-25</t>
        </is>
      </c>
      <c r="AP94" s="5" t="inlineStr">
        <is>
          <t>2026-04-25</t>
        </is>
      </c>
    </row>
    <row r="95" ht="80.09999999999999" customHeight="1">
      <c r="A95" s="5" t="inlineStr">
        <is>
          <t>es_ar_006</t>
        </is>
      </c>
      <c r="B95" s="5" t="inlineStr">
        <is>
          <t>El Rincón de Sas</t>
        </is>
      </c>
      <c r="C95" s="5" t="inlineStr">
        <is>
          <t>el-rincon-de-sas-zaragoza</t>
        </is>
      </c>
      <c r="D95" s="5" t="inlineStr">
        <is>
          <t>ES</t>
        </is>
      </c>
      <c r="E95" s="5" t="inlineStr">
        <is>
          <t>ES-AR</t>
        </is>
      </c>
      <c r="F95" s="5" t="inlineStr">
        <is>
          <t>Aragón</t>
        </is>
      </c>
      <c r="G95" s="5" t="inlineStr">
        <is>
          <t>Zaragoza</t>
        </is>
      </c>
      <c r="H95" s="5" t="inlineStr">
        <is>
          <t>Zaragoza</t>
        </is>
      </c>
      <c r="I95" s="5" t="inlineStr">
        <is>
          <t>Centro</t>
        </is>
      </c>
      <c r="J95" s="5" t="n"/>
      <c r="K95" s="5" t="inlineStr">
        <is>
          <t>C. del Blasón Aragonés, 6</t>
        </is>
      </c>
      <c r="L95" s="5" t="n">
        <v>41.65359</v>
      </c>
      <c r="M95" s="5" t="n">
        <v>-0.881016</v>
      </c>
      <c r="N95" s="5" t="inlineStr">
        <is>
          <t>restaurant</t>
        </is>
      </c>
      <c r="O95" s="5" t="inlineStr">
        <is>
          <t>espanola, internacional</t>
        </is>
      </c>
      <c r="P95" s="5" t="inlineStr">
        <is>
          <t>€€€</t>
        </is>
      </c>
      <c r="Q95" s="5" t="inlineStr">
        <is>
          <t>lunch, dinner</t>
        </is>
      </c>
      <c r="R95" s="6" t="inlineStr">
        <is>
          <t>pending_verification</t>
        </is>
      </c>
      <c r="S95" s="5" t="n"/>
      <c r="T95" s="5" t="n"/>
      <c r="U95" s="5" t="n"/>
      <c r="V95" s="5" t="inlineStr">
        <is>
          <t>Rubén Isarría: 'toda su carta es apta para celíacos'. ComeCome: '100% gluten free'. ACA-zertifiziert. PRÜFEN.</t>
        </is>
      </c>
      <c r="W95" s="5" t="n"/>
      <c r="X95" s="5" t="b">
        <v>0</v>
      </c>
      <c r="Y95" s="5" t="b">
        <v>0</v>
      </c>
      <c r="Z95" s="5" t="inlineStr">
        <is>
          <t>ACA</t>
        </is>
      </c>
      <c r="AA95" s="5" t="inlineStr">
        <is>
          <t>+34976737812</t>
        </is>
      </c>
      <c r="AB95" s="5" t="n"/>
      <c r="AC95" s="5" t="n"/>
      <c r="AD95" s="5" t="inlineStr">
        <is>
          <t>https://www.elrincondesas.com</t>
        </is>
      </c>
      <c r="AE95" s="5" t="n"/>
      <c r="AF95" s="5" t="n"/>
      <c r="AG95" s="5" t="n"/>
      <c r="AH95" s="5" t="n"/>
      <c r="AI95" s="5" t="inlineStr">
        <is>
          <t>Restaurante de cocina de autor 100% sin gluten en el centro de Zaragoza.</t>
        </is>
      </c>
      <c r="AJ95" s="5" t="inlineStr">
        <is>
          <t>100% gluten-free signature cuisine restaurant in central Zaragoza.</t>
        </is>
      </c>
      <c r="AK95" s="5" t="inlineStr">
        <is>
          <t>100% glutenfreies Restaurant für Autoren-Küche im Zentrum von Zaragoza.</t>
        </is>
      </c>
      <c r="AL95" s="5" t="n"/>
      <c r="AM95" s="5" t="inlineStr">
        <is>
          <t>regional_association</t>
        </is>
      </c>
      <c r="AN95" s="5" t="inlineStr">
        <is>
          <t>rubenisarria.com + comecomezaragoza.es (Stand 2025)</t>
        </is>
      </c>
      <c r="AO95" s="5" t="inlineStr">
        <is>
          <t>2026-04-25</t>
        </is>
      </c>
      <c r="AP95" s="5" t="inlineStr">
        <is>
          <t>2026-04-25</t>
        </is>
      </c>
    </row>
    <row r="96" ht="80.09999999999999" customHeight="1">
      <c r="A96" s="5" t="inlineStr">
        <is>
          <t>es_ar_007</t>
        </is>
      </c>
      <c r="B96" s="5" t="inlineStr">
        <is>
          <t>Costa 8 Gastrobar</t>
        </is>
      </c>
      <c r="C96" s="5" t="inlineStr">
        <is>
          <t>costa8-gastrobar-zaragoza</t>
        </is>
      </c>
      <c r="D96" s="5" t="inlineStr">
        <is>
          <t>ES</t>
        </is>
      </c>
      <c r="E96" s="5" t="inlineStr">
        <is>
          <t>ES-AR</t>
        </is>
      </c>
      <c r="F96" s="5" t="inlineStr">
        <is>
          <t>Aragón</t>
        </is>
      </c>
      <c r="G96" s="5" t="inlineStr">
        <is>
          <t>Zaragoza</t>
        </is>
      </c>
      <c r="H96" s="5" t="inlineStr">
        <is>
          <t>Zaragoza</t>
        </is>
      </c>
      <c r="I96" s="5" t="n"/>
      <c r="J96" s="5" t="n"/>
      <c r="K96" s="5" t="inlineStr">
        <is>
          <t>C. Joaquín Costa, 8</t>
        </is>
      </c>
      <c r="L96" s="5" t="n">
        <v>42.124809</v>
      </c>
      <c r="M96" s="5" t="n">
        <v>-1.142568</v>
      </c>
      <c r="N96" s="5" t="inlineStr">
        <is>
          <t>bar_tapas</t>
        </is>
      </c>
      <c r="O96" s="5" t="inlineStr">
        <is>
          <t>tapas, espanola</t>
        </is>
      </c>
      <c r="P96" s="5" t="inlineStr">
        <is>
          <t>€€</t>
        </is>
      </c>
      <c r="Q96" s="5" t="inlineStr">
        <is>
          <t>lunch, dinner, snacks</t>
        </is>
      </c>
      <c r="R96" s="6" t="inlineStr">
        <is>
          <t>pending_verification</t>
        </is>
      </c>
      <c r="S96" s="5" t="n"/>
      <c r="T96" s="5" t="n"/>
      <c r="U96" s="5" t="n"/>
      <c r="V96" s="5" t="inlineStr">
        <is>
          <t>Rubén Isarría: 'toda la carta es apta para celíacos'. Auszeichnung 'mejor tapa de huevos rotos de Zaragoza'. ACA-zertifiziert. PRÜFEN.</t>
        </is>
      </c>
      <c r="W96" s="5" t="n"/>
      <c r="X96" s="5" t="b">
        <v>0</v>
      </c>
      <c r="Y96" s="5" t="b">
        <v>0</v>
      </c>
      <c r="Z96" s="5" t="inlineStr">
        <is>
          <t>ACA</t>
        </is>
      </c>
      <c r="AA96" s="5" t="inlineStr">
        <is>
          <t>+34661072445</t>
        </is>
      </c>
      <c r="AB96" s="5" t="n"/>
      <c r="AC96" s="5" t="n"/>
      <c r="AD96" s="5" t="inlineStr">
        <is>
          <t>https://www.costa8.es</t>
        </is>
      </c>
      <c r="AE96" s="5" t="n"/>
      <c r="AF96" s="5" t="n"/>
      <c r="AG96" s="5" t="n"/>
      <c r="AH96" s="5" t="n"/>
      <c r="AI96" s="5" t="inlineStr">
        <is>
          <t>Gastrobar 100% sin gluten en Zaragoza, premiado con la mejor tapa de huevos rotos de la ciudad.</t>
        </is>
      </c>
      <c r="AJ96" s="5" t="inlineStr">
        <is>
          <t>100% gluten-free gastrobar in Zaragoza, awarded best 'huevos rotos' tapa in town.</t>
        </is>
      </c>
      <c r="AK96" s="5" t="inlineStr">
        <is>
          <t>100% glutenfreie Gastrobar in Zaragoza, ausgezeichnet mit der besten 'Huevos Rotos'-Tapa der Stadt.</t>
        </is>
      </c>
      <c r="AL96" s="5" t="n"/>
      <c r="AM96" s="5" t="inlineStr">
        <is>
          <t>regional_association</t>
        </is>
      </c>
      <c r="AN96" s="5" t="inlineStr">
        <is>
          <t>rubenisarria.com (Stand 02/2025)</t>
        </is>
      </c>
      <c r="AO96" s="5" t="inlineStr">
        <is>
          <t>2026-04-25</t>
        </is>
      </c>
      <c r="AP96" s="5" t="inlineStr">
        <is>
          <t>2026-04-25</t>
        </is>
      </c>
    </row>
    <row r="97" ht="80.09999999999999" customHeight="1">
      <c r="A97" s="5" t="inlineStr">
        <is>
          <t>es_ar_008</t>
        </is>
      </c>
      <c r="B97" s="5" t="inlineStr">
        <is>
          <t>Mononoke Café</t>
        </is>
      </c>
      <c r="C97" s="5" t="inlineStr">
        <is>
          <t>mononoke-cafe-zaragoza</t>
        </is>
      </c>
      <c r="D97" s="5" t="inlineStr">
        <is>
          <t>ES</t>
        </is>
      </c>
      <c r="E97" s="5" t="inlineStr">
        <is>
          <t>ES-AR</t>
        </is>
      </c>
      <c r="F97" s="5" t="inlineStr">
        <is>
          <t>Aragón</t>
        </is>
      </c>
      <c r="G97" s="5" t="inlineStr">
        <is>
          <t>Zaragoza</t>
        </is>
      </c>
      <c r="H97" s="5" t="inlineStr">
        <is>
          <t>Zaragoza</t>
        </is>
      </c>
      <c r="I97" s="5" t="n"/>
      <c r="J97" s="5" t="n"/>
      <c r="K97" s="5" t="inlineStr">
        <is>
          <t>Camino de las Torres, 116</t>
        </is>
      </c>
      <c r="L97" s="5" t="n">
        <v>41.640261</v>
      </c>
      <c r="M97" s="5" t="n">
        <v>-0.88573</v>
      </c>
      <c r="N97" s="5" t="inlineStr">
        <is>
          <t>pizzeria</t>
        </is>
      </c>
      <c r="O97" s="5" t="inlineStr">
        <is>
          <t>italiana, pizzas, internacional</t>
        </is>
      </c>
      <c r="P97" s="5" t="inlineStr">
        <is>
          <t>€€</t>
        </is>
      </c>
      <c r="Q97" s="5" t="inlineStr">
        <is>
          <t>lunch, dinner</t>
        </is>
      </c>
      <c r="R97" s="6" t="inlineStr">
        <is>
          <t>pending_verification</t>
        </is>
      </c>
      <c r="S97" s="5" t="n"/>
      <c r="T97" s="5" t="n"/>
      <c r="U97" s="5" t="n"/>
      <c r="V97" s="5" t="inlineStr">
        <is>
          <t>unbuendiaenzaragoza: 'pizzería sin gluten... 200 juegos de mesa y carta de tacos, pizzas, bocatas y raciones, todo 100% sin gluten'. Brettspiel-Café-Konzept mit Bier-Auswahl. PRÜFEN.</t>
        </is>
      </c>
      <c r="W97" s="5" t="n"/>
      <c r="X97" s="5" t="b">
        <v>0</v>
      </c>
      <c r="Y97" s="5" t="b">
        <v>0</v>
      </c>
      <c r="Z97" s="5" t="inlineStr">
        <is>
          <t>ACA</t>
        </is>
      </c>
      <c r="AA97" s="5" t="n"/>
      <c r="AB97" s="5" t="n"/>
      <c r="AC97" s="5" t="n"/>
      <c r="AD97" s="5" t="n"/>
      <c r="AE97" s="5" t="n"/>
      <c r="AF97" s="5" t="n"/>
      <c r="AG97" s="5" t="n"/>
      <c r="AH97" s="5" t="n"/>
      <c r="AI97" s="5" t="inlineStr">
        <is>
          <t>Pizzería + ludoteca 100% sin gluten con 200 juegos de mesa y cervezas artesanales.</t>
        </is>
      </c>
      <c r="AJ97" s="5" t="inlineStr">
        <is>
          <t>100% gluten-free pizzeria + board game café with 200 games and craft beers.</t>
        </is>
      </c>
      <c r="AK97" s="5" t="inlineStr">
        <is>
          <t>100% glutenfreie Pizzeria + Brettspiel-Café mit 200 Spielen und Craft-Bieren.</t>
        </is>
      </c>
      <c r="AL97" s="5" t="n"/>
      <c r="AM97" s="5" t="inlineStr">
        <is>
          <t>blog_research</t>
        </is>
      </c>
      <c r="AN97" s="5" t="inlineStr">
        <is>
          <t>unbuendiaenzaragoza.com (Stand 03/2026)</t>
        </is>
      </c>
      <c r="AO97" s="5" t="inlineStr">
        <is>
          <t>2026-04-25</t>
        </is>
      </c>
      <c r="AP97" s="5" t="inlineStr">
        <is>
          <t>2026-04-25</t>
        </is>
      </c>
    </row>
    <row r="98" ht="80.09999999999999" customHeight="1">
      <c r="A98" s="5" t="inlineStr">
        <is>
          <t>es_cl_001</t>
        </is>
      </c>
      <c r="B98" s="5" t="inlineStr">
        <is>
          <t>Caroba</t>
        </is>
      </c>
      <c r="C98" s="5" t="inlineStr">
        <is>
          <t>caroba-valladolid</t>
        </is>
      </c>
      <c r="D98" s="5" t="inlineStr">
        <is>
          <t>ES</t>
        </is>
      </c>
      <c r="E98" s="5" t="inlineStr">
        <is>
          <t>ES-CL</t>
        </is>
      </c>
      <c r="F98" s="5" t="inlineStr">
        <is>
          <t>Castilla y León</t>
        </is>
      </c>
      <c r="G98" s="5" t="inlineStr">
        <is>
          <t>Valladolid</t>
        </is>
      </c>
      <c r="H98" s="5" t="inlineStr">
        <is>
          <t>Valladolid</t>
        </is>
      </c>
      <c r="I98" s="5" t="n"/>
      <c r="J98" s="5" t="n"/>
      <c r="K98" s="5" t="inlineStr">
        <is>
          <t>Dulzainero Ángel Velasco, 1</t>
        </is>
      </c>
      <c r="L98" s="5" t="n">
        <v>41.651731</v>
      </c>
      <c r="M98" s="5" t="n">
        <v>-4.731005</v>
      </c>
      <c r="N98" s="5" t="inlineStr">
        <is>
          <t>restaurant</t>
        </is>
      </c>
      <c r="O98" s="5" t="inlineStr">
        <is>
          <t>espanola, arroces</t>
        </is>
      </c>
      <c r="P98" s="5" t="inlineStr">
        <is>
          <t>€€</t>
        </is>
      </c>
      <c r="Q98" s="5" t="inlineStr">
        <is>
          <t>lunch, dinner</t>
        </is>
      </c>
      <c r="R98" s="6" t="inlineStr">
        <is>
          <t>pending_verification</t>
        </is>
      </c>
      <c r="S98" s="5" t="n"/>
      <c r="T98" s="5" t="n"/>
      <c r="U98" s="5" t="n"/>
      <c r="V98" s="5" t="inlineStr">
        <is>
          <t>Celicidad: 'En el 2016 la carta del Caroba se convierte en 100% sin gluten. Especializado en arroces... croquetas de gorgonzola, pulpo a la brasa con helado, cazón en adobo. Paellas para llevar'. PRÜFEN.</t>
        </is>
      </c>
      <c r="W98" s="5" t="n"/>
      <c r="X98" s="5" t="b">
        <v>0</v>
      </c>
      <c r="Y98" s="5" t="b">
        <v>0</v>
      </c>
      <c r="Z98" s="5" t="inlineStr">
        <is>
          <t>ACECALE</t>
        </is>
      </c>
      <c r="AA98" s="5" t="n"/>
      <c r="AB98" s="5" t="n"/>
      <c r="AC98" s="5" t="n"/>
      <c r="AD98" s="5" t="n"/>
      <c r="AE98" s="5" t="n"/>
      <c r="AF98" s="5" t="n"/>
      <c r="AG98" s="5" t="n"/>
      <c r="AH98" s="5" t="n"/>
      <c r="AI98" s="5" t="inlineStr">
        <is>
          <t>Restaurante 100% sin gluten en Valladolid especializado en arroces. Paellas para llevar.</t>
        </is>
      </c>
      <c r="AJ98" s="5" t="inlineStr">
        <is>
          <t>100% gluten-free restaurant in Valladolid specialized in rice dishes. Take-away paellas.</t>
        </is>
      </c>
      <c r="AK98" s="5" t="inlineStr">
        <is>
          <t>100% glutenfreies Restaurant in Valladolid, spezialisiert auf Reisgerichte. Paellas zum Mitnehmen.</t>
        </is>
      </c>
      <c r="AL98" s="5" t="n"/>
      <c r="AM98" s="5" t="inlineStr">
        <is>
          <t>blog_research</t>
        </is>
      </c>
      <c r="AN98" s="5" t="inlineStr">
        <is>
          <t>celicidad.net (Stand 04/2023)</t>
        </is>
      </c>
      <c r="AO98" s="5" t="inlineStr">
        <is>
          <t>2026-04-25</t>
        </is>
      </c>
      <c r="AP98" s="5" t="inlineStr">
        <is>
          <t>2026-04-25</t>
        </is>
      </c>
    </row>
    <row r="99" ht="80.09999999999999" customHeight="1">
      <c r="A99" s="5" t="inlineStr">
        <is>
          <t>es_cl_002</t>
        </is>
      </c>
      <c r="B99" s="5" t="inlineStr">
        <is>
          <t>Asador El Brasero</t>
        </is>
      </c>
      <c r="C99" s="5" t="inlineStr">
        <is>
          <t>asador-el-brasero-zamora</t>
        </is>
      </c>
      <c r="D99" s="5" t="inlineStr">
        <is>
          <t>ES</t>
        </is>
      </c>
      <c r="E99" s="5" t="inlineStr">
        <is>
          <t>ES-CL</t>
        </is>
      </c>
      <c r="F99" s="5" t="inlineStr">
        <is>
          <t>Castilla y León</t>
        </is>
      </c>
      <c r="G99" s="5" t="inlineStr">
        <is>
          <t>Zamora</t>
        </is>
      </c>
      <c r="H99" s="5" t="inlineStr">
        <is>
          <t>Zamora</t>
        </is>
      </c>
      <c r="I99" s="5" t="n"/>
      <c r="J99" s="5" t="n"/>
      <c r="K99" s="5" t="inlineStr">
        <is>
          <t>Carretera Villacastín-Vigo, 14</t>
        </is>
      </c>
      <c r="L99" s="5" t="n">
        <v>41.827912</v>
      </c>
      <c r="M99" s="5" t="n">
        <v>-5.960624</v>
      </c>
      <c r="N99" s="5" t="inlineStr">
        <is>
          <t>restaurant</t>
        </is>
      </c>
      <c r="O99" s="5" t="inlineStr">
        <is>
          <t>espanola</t>
        </is>
      </c>
      <c r="P99" s="5" t="inlineStr">
        <is>
          <t>€€</t>
        </is>
      </c>
      <c r="Q99" s="5" t="inlineStr">
        <is>
          <t>lunch, dinner</t>
        </is>
      </c>
      <c r="R99" s="6" t="inlineStr">
        <is>
          <t>pending_verification</t>
        </is>
      </c>
      <c r="S99" s="5" t="n"/>
      <c r="T99" s="5" t="n"/>
      <c r="U99" s="5" t="n"/>
      <c r="V99" s="5" t="inlineStr">
        <is>
          <t>Celicidad: 'asador 100% sin gluten en el que disfrutar de su especialidad, la carne... único restaurante de Zamora que tiene convenio con ACECALE'. PRÜFEN.</t>
        </is>
      </c>
      <c r="W99" s="5" t="n"/>
      <c r="X99" s="5" t="b">
        <v>0</v>
      </c>
      <c r="Y99" s="5" t="b">
        <v>0</v>
      </c>
      <c r="Z99" s="5" t="inlineStr">
        <is>
          <t>ACECALE</t>
        </is>
      </c>
      <c r="AA99" s="5" t="n"/>
      <c r="AB99" s="5" t="n"/>
      <c r="AC99" s="5" t="n"/>
      <c r="AD99" s="5" t="n"/>
      <c r="AE99" s="5" t="n"/>
      <c r="AF99" s="5" t="n"/>
      <c r="AG99" s="5" t="n"/>
      <c r="AH99" s="5" t="n"/>
      <c r="AI99" s="5" t="inlineStr">
        <is>
          <t>Asador 100% sin gluten en Zamora, especializado en carne a la brasa.</t>
        </is>
      </c>
      <c r="AJ99" s="5" t="inlineStr">
        <is>
          <t>100% gluten-free grill house in Zamora, specialized in grilled meat.</t>
        </is>
      </c>
      <c r="AK99" s="5" t="inlineStr">
        <is>
          <t>100% glutenfreies Grillhaus in Zamora, Spezialität gegrilltes Fleisch.</t>
        </is>
      </c>
      <c r="AL99" s="5" t="n"/>
      <c r="AM99" s="5" t="inlineStr">
        <is>
          <t>blog_research</t>
        </is>
      </c>
      <c r="AN99" s="5" t="inlineStr">
        <is>
          <t>celicidad.net (Stand 04/2023). Quelle ist älter — Status unbedingt prüfen.</t>
        </is>
      </c>
      <c r="AO99" s="5" t="inlineStr">
        <is>
          <t>2026-04-25</t>
        </is>
      </c>
      <c r="AP99" s="5" t="inlineStr">
        <is>
          <t>2026-04-25</t>
        </is>
      </c>
    </row>
    <row r="100" ht="80.09999999999999" customHeight="1">
      <c r="A100" s="5" t="inlineStr">
        <is>
          <t>es_cb_001</t>
        </is>
      </c>
      <c r="B100" s="5" t="inlineStr">
        <is>
          <t>La Posada del Mar Santander</t>
        </is>
      </c>
      <c r="C100" s="5" t="inlineStr">
        <is>
          <t>la-posada-del-mar-santander</t>
        </is>
      </c>
      <c r="D100" s="5" t="inlineStr">
        <is>
          <t>ES</t>
        </is>
      </c>
      <c r="E100" s="5" t="inlineStr">
        <is>
          <t>ES-CB</t>
        </is>
      </c>
      <c r="F100" s="5" t="inlineStr">
        <is>
          <t>Cantabria</t>
        </is>
      </c>
      <c r="G100" s="5" t="inlineStr">
        <is>
          <t>Cantabria</t>
        </is>
      </c>
      <c r="H100" s="5" t="inlineStr">
        <is>
          <t>Santander</t>
        </is>
      </c>
      <c r="I100" s="5" t="n"/>
      <c r="J100" s="5" t="inlineStr">
        <is>
          <t>39004</t>
        </is>
      </c>
      <c r="K100" s="5" t="inlineStr">
        <is>
          <t>Calle Castelar, 19</t>
        </is>
      </c>
      <c r="L100" s="5" t="n">
        <v>43.463151</v>
      </c>
      <c r="M100" s="5" t="n">
        <v>-3.793808</v>
      </c>
      <c r="N100" s="5" t="inlineStr">
        <is>
          <t>restaurant</t>
        </is>
      </c>
      <c r="O100" s="5" t="inlineStr">
        <is>
          <t>espanola, mariscos</t>
        </is>
      </c>
      <c r="P100" s="5" t="inlineStr">
        <is>
          <t>€€€</t>
        </is>
      </c>
      <c r="Q100" s="5" t="inlineStr">
        <is>
          <t>lunch, dinner</t>
        </is>
      </c>
      <c r="R100" s="6" t="inlineStr">
        <is>
          <t>pending_verification</t>
        </is>
      </c>
      <c r="S100" s="5" t="n"/>
      <c r="T100" s="5" t="n"/>
      <c r="U100" s="5" t="n"/>
      <c r="V100" s="5" t="inlineStr">
        <is>
          <t>ACSG-Verzeichnis. UNKLAR ob 100% GF — wahrscheinlich Mischbetrieb mit GF-Karte. KLÄRUNGSBEDARF.</t>
        </is>
      </c>
      <c r="W100" s="5" t="n"/>
      <c r="X100" s="5" t="b">
        <v>0</v>
      </c>
      <c r="Y100" s="5" t="b">
        <v>0</v>
      </c>
      <c r="Z100" s="5" t="n"/>
      <c r="AA100" s="5" t="inlineStr">
        <is>
          <t>+34942213023</t>
        </is>
      </c>
      <c r="AB100" s="5" t="n"/>
      <c r="AC100" s="5" t="inlineStr">
        <is>
          <t>reservas@laposadadelmar.es</t>
        </is>
      </c>
      <c r="AD100" s="5" t="inlineStr">
        <is>
          <t>https://www.laposadadelmarsantander.com</t>
        </is>
      </c>
      <c r="AE100" s="5" t="n"/>
      <c r="AF100" s="5" t="n"/>
      <c r="AG100" s="5" t="n"/>
      <c r="AH100" s="5" t="n"/>
      <c r="AI100" s="5" t="n"/>
      <c r="AJ100" s="5" t="n"/>
      <c r="AK100" s="5" t="n"/>
      <c r="AL100" s="5" t="n"/>
      <c r="AM100" s="5" t="inlineStr">
        <is>
          <t>regional_association</t>
        </is>
      </c>
      <c r="AN100" s="5" t="inlineStr">
        <is>
          <t>celiacosmadrid.org — Status 100% UNKLAR, sehr wahrscheinlich nicht 100%</t>
        </is>
      </c>
      <c r="AO100" s="5" t="inlineStr">
        <is>
          <t>2026-04-25</t>
        </is>
      </c>
      <c r="AP100" s="5" t="inlineStr">
        <is>
          <t>2026-04-25</t>
        </is>
      </c>
    </row>
    <row r="101" ht="80.09999999999999" customHeight="1">
      <c r="A101" s="5" t="inlineStr">
        <is>
          <t>es_nc_001</t>
        </is>
      </c>
      <c r="B101" s="5" t="inlineStr">
        <is>
          <t>CroquetArte Pamplona</t>
        </is>
      </c>
      <c r="C101" s="5" t="inlineStr">
        <is>
          <t>croquetarte-pamplona</t>
        </is>
      </c>
      <c r="D101" s="5" t="inlineStr">
        <is>
          <t>ES</t>
        </is>
      </c>
      <c r="E101" s="5" t="inlineStr">
        <is>
          <t>ES-NC</t>
        </is>
      </c>
      <c r="F101" s="5" t="inlineStr">
        <is>
          <t>Navarra</t>
        </is>
      </c>
      <c r="G101" s="5" t="inlineStr">
        <is>
          <t>Navarra</t>
        </is>
      </c>
      <c r="H101" s="5" t="inlineStr">
        <is>
          <t>Pamplona</t>
        </is>
      </c>
      <c r="I101" s="5" t="n"/>
      <c r="J101" s="5" t="n"/>
      <c r="K101" s="5" t="n"/>
      <c r="L101" s="5" t="n">
        <v>42.815686</v>
      </c>
      <c r="M101" s="5" t="n">
        <v>-1.652235</v>
      </c>
      <c r="N101" s="5" t="inlineStr">
        <is>
          <t>restaurant</t>
        </is>
      </c>
      <c r="O101" s="5" t="inlineStr">
        <is>
          <t>espanola, tapas</t>
        </is>
      </c>
      <c r="P101" s="5" t="inlineStr">
        <is>
          <t>€€</t>
        </is>
      </c>
      <c r="Q101" s="5" t="inlineStr">
        <is>
          <t>lunch, dinner, snacks</t>
        </is>
      </c>
      <c r="R101" s="6" t="inlineStr">
        <is>
          <t>pending_verification</t>
        </is>
      </c>
      <c r="S101" s="5" t="n"/>
      <c r="T101" s="5" t="n"/>
      <c r="U101" s="5" t="n"/>
      <c r="V101" s="5" t="inlineStr">
        <is>
          <t>ACHTUNG: Eigene Webseite spricht von 'línea de Croquetas SIN GLUTEN' und 'Sello FACE Restauración Sin Gluten' — das deutet auf MISCHBETRIEB mit GF-Linie, NICHT 100% GF! Klärungsbedarf — wahrscheinlich nicht für die App geeignet.</t>
        </is>
      </c>
      <c r="W101" s="5" t="n"/>
      <c r="X101" s="5" t="b">
        <v>1</v>
      </c>
      <c r="Y101" s="5" t="b">
        <v>0</v>
      </c>
      <c r="Z101" s="5" t="inlineStr">
        <is>
          <t>FACE</t>
        </is>
      </c>
      <c r="AA101" s="5" t="n"/>
      <c r="AB101" s="5" t="n"/>
      <c r="AC101" s="5" t="n"/>
      <c r="AD101" s="5" t="inlineStr">
        <is>
          <t>https://www.croquetarte.es</t>
        </is>
      </c>
      <c r="AE101" s="5" t="n"/>
      <c r="AF101" s="5" t="n"/>
      <c r="AG101" s="5" t="n"/>
      <c r="AH101" s="5" t="n"/>
      <c r="AI101" s="5" t="n"/>
      <c r="AJ101" s="5" t="n"/>
      <c r="AK101" s="5" t="n"/>
      <c r="AL101" s="5" t="n"/>
      <c r="AM101" s="5" t="inlineStr">
        <is>
          <t>official_website</t>
        </is>
      </c>
      <c r="AN101" s="5" t="inlineStr">
        <is>
          <t>croquetarte.es — vermutlich KEIN 100% GF, sondern Mischbetrieb mit GF-Linie. Eventuell ablehnen.</t>
        </is>
      </c>
      <c r="AO101" s="5" t="inlineStr">
        <is>
          <t>2026-04-25</t>
        </is>
      </c>
      <c r="AP101" s="5" t="inlineStr">
        <is>
          <t>2026-04-25</t>
        </is>
      </c>
    </row>
    <row r="102" ht="80.09999999999999" customHeight="1">
      <c r="A102" s="5" t="inlineStr">
        <is>
          <t>es_ct_018</t>
        </is>
      </c>
      <c r="B102" s="5" t="inlineStr">
        <is>
          <t>Restaurante Manresa (Casco Antiguo)</t>
        </is>
      </c>
      <c r="C102" s="5" t="inlineStr">
        <is>
          <t>restaurante-manresa-casco-antiguo</t>
        </is>
      </c>
      <c r="D102" s="5" t="inlineStr">
        <is>
          <t>ES</t>
        </is>
      </c>
      <c r="E102" s="5" t="inlineStr">
        <is>
          <t>ES-CT</t>
        </is>
      </c>
      <c r="F102" s="5" t="inlineStr">
        <is>
          <t>Cataluña</t>
        </is>
      </c>
      <c r="G102" s="5" t="inlineStr">
        <is>
          <t>Barcelona</t>
        </is>
      </c>
      <c r="H102" s="5" t="inlineStr">
        <is>
          <t>Manresa</t>
        </is>
      </c>
      <c r="I102" s="5" t="inlineStr">
        <is>
          <t>Casco Antiguo</t>
        </is>
      </c>
      <c r="J102" s="5" t="n"/>
      <c r="K102" s="5" t="n"/>
      <c r="L102" s="5" t="n">
        <v>41.728894</v>
      </c>
      <c r="M102" s="5" t="n">
        <v>1.828677</v>
      </c>
      <c r="N102" s="5" t="inlineStr">
        <is>
          <t>restaurant</t>
        </is>
      </c>
      <c r="O102" s="5" t="inlineStr">
        <is>
          <t>catalana, mediterranea</t>
        </is>
      </c>
      <c r="P102" s="5" t="inlineStr">
        <is>
          <t>€€</t>
        </is>
      </c>
      <c r="Q102" s="5" t="inlineStr">
        <is>
          <t>lunch, dinner</t>
        </is>
      </c>
      <c r="R102" s="6" t="inlineStr">
        <is>
          <t>pending_verification</t>
        </is>
      </c>
      <c r="S102" s="5" t="n"/>
      <c r="T102" s="5" t="n"/>
      <c r="U102" s="5" t="n"/>
      <c r="V102" s="5" t="inlineStr">
        <is>
          <t>ViajarSinGluten: 'Restaurante situado en el casco antiguo de Manresa. Productos locales, de temporada y ecológicos. Todos los platos de la carta no contienen gluten, a excepción de algún postre'. ACHTUNG: 'a excepción de algún postre' = NICHT 100% GF! Möglicherweise ablehnen oder klären.</t>
        </is>
      </c>
      <c r="W102" s="5" t="n"/>
      <c r="X102" s="5" t="b">
        <v>0</v>
      </c>
      <c r="Y102" s="5" t="b">
        <v>0</v>
      </c>
      <c r="Z102" s="5" t="inlineStr">
        <is>
          <t>Celiacs Catalunya</t>
        </is>
      </c>
      <c r="AA102" s="5" t="n"/>
      <c r="AB102" s="5" t="n"/>
      <c r="AC102" s="5" t="n"/>
      <c r="AD102" s="5" t="n"/>
      <c r="AE102" s="5" t="n"/>
      <c r="AF102" s="5" t="n"/>
      <c r="AG102" s="5" t="n"/>
      <c r="AH102" s="5" t="n"/>
      <c r="AI102" s="5" t="n"/>
      <c r="AJ102" s="5" t="n"/>
      <c r="AK102" s="5" t="n"/>
      <c r="AL102" s="5" t="n"/>
      <c r="AM102" s="5" t="inlineStr">
        <is>
          <t>blog_research</t>
        </is>
      </c>
      <c r="AN102" s="5" t="inlineStr">
        <is>
          <t>viajarsingluten.com — NICHT 100% GF (einige Desserts mit Gluten). Wahrscheinlich ablehnen.</t>
        </is>
      </c>
      <c r="AO102" s="5" t="inlineStr">
        <is>
          <t>2026-04-25</t>
        </is>
      </c>
      <c r="AP102" s="5" t="inlineStr">
        <is>
          <t>2026-04-25</t>
        </is>
      </c>
    </row>
    <row r="103" ht="80.09999999999999" customHeight="1">
      <c r="A103" s="5" t="inlineStr">
        <is>
          <t>es_pv_009</t>
        </is>
      </c>
      <c r="B103" s="5" t="inlineStr">
        <is>
          <t>Nebak</t>
        </is>
      </c>
      <c r="C103" s="5" t="inlineStr">
        <is>
          <t>nebak-bilbao</t>
        </is>
      </c>
      <c r="D103" s="5" t="inlineStr">
        <is>
          <t>ES</t>
        </is>
      </c>
      <c r="E103" s="5" t="inlineStr">
        <is>
          <t>ES-PV</t>
        </is>
      </c>
      <c r="F103" s="5" t="inlineStr">
        <is>
          <t>País Vasco / Euskadi</t>
        </is>
      </c>
      <c r="G103" s="5" t="inlineStr">
        <is>
          <t>Vizcaya</t>
        </is>
      </c>
      <c r="H103" s="5" t="inlineStr">
        <is>
          <t>Bilbao</t>
        </is>
      </c>
      <c r="I103" s="5" t="inlineStr">
        <is>
          <t>Casco Viejo</t>
        </is>
      </c>
      <c r="J103" s="5" t="n"/>
      <c r="K103" s="5" t="inlineStr">
        <is>
          <t>Kale Barria, 4</t>
        </is>
      </c>
      <c r="L103" s="5" t="n">
        <v>43.258644</v>
      </c>
      <c r="M103" s="5" t="n">
        <v>-2.925368</v>
      </c>
      <c r="N103" s="5" t="inlineStr">
        <is>
          <t>restaurant</t>
        </is>
      </c>
      <c r="O103" s="5" t="inlineStr">
        <is>
          <t>vasca, espanola</t>
        </is>
      </c>
      <c r="P103" s="5" t="inlineStr">
        <is>
          <t>€€</t>
        </is>
      </c>
      <c r="Q103" s="5" t="inlineStr">
        <is>
          <t>lunch, dinner</t>
        </is>
      </c>
      <c r="R103" s="6" t="inlineStr">
        <is>
          <t>pending_verification</t>
        </is>
      </c>
      <c r="S103" s="5" t="n"/>
      <c r="T103" s="5" t="n"/>
      <c r="U103" s="5" t="n"/>
      <c r="V103" s="5" t="inlineStr">
        <is>
          <t>Celicidad-Kommentar: 'En Bilbao han abierto un restaurante NEBAK Kale barria, 4. 100% sin gluten. Cocina tradicional vasca'. Auch in trotamundossingluten als 'elegante restaurante recién abierto 100% sin gluten especializado en cocina tradicional vasca' beschrieben. PRÜFEN: aktueller Status, Kontaktdaten.</t>
        </is>
      </c>
      <c r="W103" s="5" t="n"/>
      <c r="X103" s="5" t="b">
        <v>0</v>
      </c>
      <c r="Y103" s="5" t="b">
        <v>0</v>
      </c>
      <c r="Z103" s="5" t="inlineStr">
        <is>
          <t>Celiacos Euskadi</t>
        </is>
      </c>
      <c r="AA103" s="5" t="n"/>
      <c r="AB103" s="5" t="n"/>
      <c r="AC103" s="5" t="n"/>
      <c r="AD103" s="5" t="n"/>
      <c r="AE103" s="5" t="n"/>
      <c r="AF103" s="5" t="n"/>
      <c r="AG103" s="5" t="n"/>
      <c r="AH103" s="5" t="n"/>
      <c r="AI103" s="5" t="inlineStr">
        <is>
          <t>Restaurante 100% sin gluten de cocina tradicional vasca en el Casco Viejo de Bilbao.</t>
        </is>
      </c>
      <c r="AJ103" s="5" t="inlineStr">
        <is>
          <t>100% gluten-free traditional Basque restaurant in Bilbao's Old Town.</t>
        </is>
      </c>
      <c r="AK103" s="5" t="inlineStr">
        <is>
          <t>100% glutenfreies Restaurant für traditionelle baskische Küche in Bilbaos Altstadt.</t>
        </is>
      </c>
      <c r="AL103" s="5" t="n"/>
      <c r="AM103" s="5" t="inlineStr">
        <is>
          <t>blog_research</t>
        </is>
      </c>
      <c r="AN103" s="5" t="inlineStr">
        <is>
          <t>celicidad.net Kommentar + trotamundossingluten.wordpress.com</t>
        </is>
      </c>
      <c r="AO103" s="5" t="inlineStr">
        <is>
          <t>2026-04-25</t>
        </is>
      </c>
      <c r="AP103" s="5" t="inlineStr">
        <is>
          <t>2026-04-25</t>
        </is>
      </c>
    </row>
    <row r="104" ht="80.09999999999999" customHeight="1">
      <c r="A104" s="5" t="inlineStr">
        <is>
          <t>es_as_012</t>
        </is>
      </c>
      <c r="B104" s="5" t="inlineStr">
        <is>
          <t>Sidrería Hoyu L'Agua</t>
        </is>
      </c>
      <c r="C104" s="5" t="inlineStr">
        <is>
          <t>sidreria-hoyu-lagua-llanes</t>
        </is>
      </c>
      <c r="D104" s="5" t="inlineStr">
        <is>
          <t>ES</t>
        </is>
      </c>
      <c r="E104" s="5" t="inlineStr">
        <is>
          <t>ES-AS</t>
        </is>
      </c>
      <c r="F104" s="5" t="inlineStr">
        <is>
          <t>Principado de Asturias</t>
        </is>
      </c>
      <c r="G104" s="5" t="inlineStr">
        <is>
          <t>Asturias</t>
        </is>
      </c>
      <c r="H104" s="5" t="inlineStr">
        <is>
          <t>Vidiago (Llanes)</t>
        </is>
      </c>
      <c r="I104" s="5" t="n"/>
      <c r="J104" s="5" t="n"/>
      <c r="K104" s="5" t="inlineStr">
        <is>
          <t>Puerta de Vidiago s/n</t>
        </is>
      </c>
      <c r="L104" s="5" t="n">
        <v>43.396627</v>
      </c>
      <c r="M104" s="5" t="n">
        <v>-4.67277</v>
      </c>
      <c r="N104" s="5" t="inlineStr">
        <is>
          <t>restaurant</t>
        </is>
      </c>
      <c r="O104" s="5" t="inlineStr">
        <is>
          <t>asturiana, sidreria, espanola</t>
        </is>
      </c>
      <c r="P104" s="5" t="inlineStr">
        <is>
          <t>€€</t>
        </is>
      </c>
      <c r="Q104" s="5" t="inlineStr">
        <is>
          <t>lunch, dinner</t>
        </is>
      </c>
      <c r="R104" s="6" t="inlineStr">
        <is>
          <t>pending_verification</t>
        </is>
      </c>
      <c r="S104" s="5" t="n"/>
      <c r="T104" s="5" t="n"/>
      <c r="U104" s="5" t="n"/>
      <c r="V104" s="5" t="inlineStr">
        <is>
          <t>Celicidad: '100% sin gluten desde los entrantes a los postres, y unas valoraciones espectaculares por parte de los usuarios de Celicidad'. Östliches Asturien (Llanes). PRÜFEN.</t>
        </is>
      </c>
      <c r="W104" s="5" t="n"/>
      <c r="X104" s="5" t="b">
        <v>0</v>
      </c>
      <c r="Y104" s="5" t="b">
        <v>0</v>
      </c>
      <c r="Z104" s="5" t="inlineStr">
        <is>
          <t>ACEPA</t>
        </is>
      </c>
      <c r="AA104" s="5" t="n"/>
      <c r="AB104" s="5" t="n"/>
      <c r="AC104" s="5" t="n"/>
      <c r="AD104" s="5" t="n"/>
      <c r="AE104" s="5" t="n"/>
      <c r="AF104" s="5" t="n"/>
      <c r="AG104" s="5" t="n"/>
      <c r="AH104" s="5" t="n"/>
      <c r="AI104" s="5" t="inlineStr">
        <is>
          <t>Sidrería 100% sin gluten en Vidiago (Llanes), Asturias oriental.</t>
        </is>
      </c>
      <c r="AJ104" s="5" t="inlineStr">
        <is>
          <t>100% gluten-free cider house in Vidiago (Llanes), eastern Asturias.</t>
        </is>
      </c>
      <c r="AK104" s="5" t="inlineStr">
        <is>
          <t>100% glutenfreies Sidrería in Vidiago (Llanes), Ostasturien.</t>
        </is>
      </c>
      <c r="AL104" s="5" t="n"/>
      <c r="AM104" s="5" t="inlineStr">
        <is>
          <t>blog_research</t>
        </is>
      </c>
      <c r="AN104" s="5" t="inlineStr">
        <is>
          <t>celicidad.net (Stand 04/2023)</t>
        </is>
      </c>
      <c r="AO104" s="5" t="inlineStr">
        <is>
          <t>2026-04-25</t>
        </is>
      </c>
      <c r="AP104" s="5" t="inlineStr">
        <is>
          <t>2026-04-25</t>
        </is>
      </c>
    </row>
    <row r="105" ht="80.09999999999999" customHeight="1">
      <c r="A105" s="5" t="inlineStr">
        <is>
          <t>es_an_012</t>
        </is>
      </c>
      <c r="B105" s="5" t="inlineStr">
        <is>
          <t>Aparicios Granada</t>
        </is>
      </c>
      <c r="C105" s="5" t="inlineStr">
        <is>
          <t>aparicios-granada</t>
        </is>
      </c>
      <c r="D105" s="5" t="inlineStr">
        <is>
          <t>ES</t>
        </is>
      </c>
      <c r="E105" s="5" t="inlineStr">
        <is>
          <t>ES-AN</t>
        </is>
      </c>
      <c r="F105" s="5" t="inlineStr">
        <is>
          <t>Andalucía</t>
        </is>
      </c>
      <c r="G105" s="5" t="inlineStr">
        <is>
          <t>Granada</t>
        </is>
      </c>
      <c r="H105" s="5" t="inlineStr">
        <is>
          <t>Granada</t>
        </is>
      </c>
      <c r="I105" s="5" t="n"/>
      <c r="J105" s="5" t="n"/>
      <c r="K105" s="5" t="n"/>
      <c r="L105" s="5" t="n">
        <v>37.173499</v>
      </c>
      <c r="M105" s="5" t="n">
        <v>-3.599534</v>
      </c>
      <c r="N105" s="5" t="inlineStr">
        <is>
          <t>restaurant</t>
        </is>
      </c>
      <c r="O105" s="5" t="inlineStr">
        <is>
          <t>andaluza, espanola</t>
        </is>
      </c>
      <c r="P105" s="5" t="inlineStr">
        <is>
          <t>€€</t>
        </is>
      </c>
      <c r="Q105" s="5" t="inlineStr">
        <is>
          <t>lunch, dinner</t>
        </is>
      </c>
      <c r="R105" s="6" t="inlineStr">
        <is>
          <t>pending_verification</t>
        </is>
      </c>
      <c r="S105" s="5" t="n"/>
      <c r="T105" s="5" t="n"/>
      <c r="U105" s="5" t="n"/>
      <c r="V105" s="5" t="inlineStr">
        <is>
          <t>Celicidad-Kommentar: 'corroboro que tanto el Aparicios de Granada como La Pandichina y el Bar de las Artes en Murcia son 100% sin gluten'. PRÜFEN: Adresse, Telefon, aktuell.</t>
        </is>
      </c>
      <c r="W105" s="5" t="n"/>
      <c r="X105" s="5" t="b">
        <v>0</v>
      </c>
      <c r="Y105" s="5" t="b">
        <v>0</v>
      </c>
      <c r="Z105" s="5" t="n"/>
      <c r="AA105" s="5" t="n"/>
      <c r="AB105" s="5" t="n"/>
      <c r="AC105" s="5" t="n"/>
      <c r="AD105" s="5" t="n"/>
      <c r="AE105" s="5" t="n"/>
      <c r="AF105" s="5" t="n"/>
      <c r="AG105" s="5" t="n"/>
      <c r="AH105" s="5" t="n"/>
      <c r="AI105" s="5" t="inlineStr">
        <is>
          <t>Restaurante 100% sin gluten en Granada.</t>
        </is>
      </c>
      <c r="AJ105" s="5" t="inlineStr">
        <is>
          <t>100% gluten-free restaurant in Granada.</t>
        </is>
      </c>
      <c r="AK105" s="5" t="inlineStr">
        <is>
          <t>100% glutenfreies Restaurant in Granada.</t>
        </is>
      </c>
      <c r="AL105" s="5" t="n"/>
      <c r="AM105" s="5" t="inlineStr">
        <is>
          <t>community_submission</t>
        </is>
      </c>
      <c r="AN105" s="5" t="inlineStr">
        <is>
          <t>Kommentar in celicidad.net — User-Bestätigung, Quelle eher schwach. Verifizierung wichtig.</t>
        </is>
      </c>
      <c r="AO105" s="5" t="inlineStr">
        <is>
          <t>2026-04-25</t>
        </is>
      </c>
      <c r="AP105" s="5" t="inlineStr">
        <is>
          <t>2026-04-25</t>
        </is>
      </c>
    </row>
    <row r="106" ht="80.09999999999999" customHeight="1">
      <c r="A106" s="5" t="inlineStr">
        <is>
          <t>es_an_013</t>
        </is>
      </c>
      <c r="B106" s="5" t="inlineStr">
        <is>
          <t>El Cortijo Sin Gluten Granada</t>
        </is>
      </c>
      <c r="C106" s="5" t="inlineStr">
        <is>
          <t>el-cortijo-sin-gluten-granada</t>
        </is>
      </c>
      <c r="D106" s="5" t="inlineStr">
        <is>
          <t>ES</t>
        </is>
      </c>
      <c r="E106" s="5" t="inlineStr">
        <is>
          <t>ES-AN</t>
        </is>
      </c>
      <c r="F106" s="5" t="inlineStr">
        <is>
          <t>Andalucía</t>
        </is>
      </c>
      <c r="G106" s="5" t="inlineStr">
        <is>
          <t>Granada</t>
        </is>
      </c>
      <c r="H106" s="5" t="inlineStr">
        <is>
          <t>Granada</t>
        </is>
      </c>
      <c r="I106" s="5" t="n"/>
      <c r="J106" s="5" t="n"/>
      <c r="K106" s="5" t="n"/>
      <c r="L106" s="5" t="n">
        <v>37.173499</v>
      </c>
      <c r="M106" s="5" t="n">
        <v>-3.599534</v>
      </c>
      <c r="N106" s="5" t="inlineStr">
        <is>
          <t>restaurant</t>
        </is>
      </c>
      <c r="O106" s="5" t="inlineStr">
        <is>
          <t>andaluza, espanola</t>
        </is>
      </c>
      <c r="P106" s="5" t="inlineStr">
        <is>
          <t>€€</t>
        </is>
      </c>
      <c r="Q106" s="5" t="inlineStr">
        <is>
          <t>lunch, dinner</t>
        </is>
      </c>
      <c r="R106" s="6" t="inlineStr">
        <is>
          <t>pending_verification</t>
        </is>
      </c>
      <c r="S106" s="5" t="n"/>
      <c r="T106" s="5" t="n"/>
      <c r="U106" s="5" t="n"/>
      <c r="V106" s="5" t="inlineStr">
        <is>
          <t>Celicidad-Kommentar erwähnt 'En Granada tienes El Cortijo Sin [Gluten]'. Quelle: User-Kommentar. PRÜFEN: Adresse + Status.</t>
        </is>
      </c>
      <c r="W106" s="5" t="n"/>
      <c r="X106" s="5" t="b">
        <v>0</v>
      </c>
      <c r="Y106" s="5" t="b">
        <v>0</v>
      </c>
      <c r="Z106" s="5" t="n"/>
      <c r="AA106" s="5" t="n"/>
      <c r="AB106" s="5" t="n"/>
      <c r="AC106" s="5" t="n"/>
      <c r="AD106" s="5" t="n"/>
      <c r="AE106" s="5" t="n"/>
      <c r="AF106" s="5" t="n"/>
      <c r="AG106" s="5" t="n"/>
      <c r="AH106" s="5" t="n"/>
      <c r="AI106" s="5" t="inlineStr">
        <is>
          <t>Restaurante sin gluten en Granada.</t>
        </is>
      </c>
      <c r="AJ106" s="5" t="inlineStr">
        <is>
          <t>Gluten-free restaurant in Granada.</t>
        </is>
      </c>
      <c r="AK106" s="5" t="inlineStr">
        <is>
          <t>Glutenfreies Restaurant in Granada.</t>
        </is>
      </c>
      <c r="AL106" s="5" t="n"/>
      <c r="AM106" s="5" t="inlineStr">
        <is>
          <t>community_submission</t>
        </is>
      </c>
      <c r="AN106" s="5" t="inlineStr">
        <is>
          <t>User-Kommentar in celicidad.net. Status sehr unsicher.</t>
        </is>
      </c>
      <c r="AO106" s="5" t="inlineStr">
        <is>
          <t>2026-04-25</t>
        </is>
      </c>
      <c r="AP106" s="5" t="inlineStr">
        <is>
          <t>2026-04-25</t>
        </is>
      </c>
    </row>
    <row r="107" ht="80.09999999999999" customHeight="1">
      <c r="A107" s="5" t="inlineStr">
        <is>
          <t>es_mc_001</t>
        </is>
      </c>
      <c r="B107" s="5" t="inlineStr">
        <is>
          <t>La Pandichina</t>
        </is>
      </c>
      <c r="C107" s="5" t="inlineStr">
        <is>
          <t>la-pandichina-murcia</t>
        </is>
      </c>
      <c r="D107" s="5" t="inlineStr">
        <is>
          <t>ES</t>
        </is>
      </c>
      <c r="E107" s="5" t="inlineStr">
        <is>
          <t>ES-MC</t>
        </is>
      </c>
      <c r="F107" s="5" t="inlineStr">
        <is>
          <t>Región de Murcia</t>
        </is>
      </c>
      <c r="G107" s="5" t="inlineStr">
        <is>
          <t>Murcia</t>
        </is>
      </c>
      <c r="H107" s="5" t="inlineStr">
        <is>
          <t>Murcia</t>
        </is>
      </c>
      <c r="I107" s="5" t="n"/>
      <c r="J107" s="5" t="n"/>
      <c r="K107" s="5" t="n"/>
      <c r="L107" s="5" t="n">
        <v>37.934752</v>
      </c>
      <c r="M107" s="5" t="n">
        <v>-1.113103</v>
      </c>
      <c r="N107" s="5" t="inlineStr">
        <is>
          <t>restaurant</t>
        </is>
      </c>
      <c r="O107" s="5" t="inlineStr">
        <is>
          <t>internacional, asiatica</t>
        </is>
      </c>
      <c r="P107" s="5" t="inlineStr">
        <is>
          <t>€€</t>
        </is>
      </c>
      <c r="Q107" s="5" t="inlineStr">
        <is>
          <t>lunch, dinner</t>
        </is>
      </c>
      <c r="R107" s="6" t="inlineStr">
        <is>
          <t>pending_verification</t>
        </is>
      </c>
      <c r="S107" s="5" t="n"/>
      <c r="T107" s="5" t="n"/>
      <c r="U107" s="5" t="n"/>
      <c r="V107" s="5" t="inlineStr">
        <is>
          <t>Celicidad-Kommentar: 'La Pandichina y el Bar de las Artes en Murcia son 100% sin gluten'. PRÜFEN: Adresse + aktueller Status.</t>
        </is>
      </c>
      <c r="W107" s="5" t="n"/>
      <c r="X107" s="5" t="b">
        <v>0</v>
      </c>
      <c r="Y107" s="5" t="b">
        <v>0</v>
      </c>
      <c r="Z107" s="5" t="n"/>
      <c r="AA107" s="5" t="n"/>
      <c r="AB107" s="5" t="n"/>
      <c r="AC107" s="5" t="n"/>
      <c r="AD107" s="5" t="n"/>
      <c r="AE107" s="5" t="n"/>
      <c r="AF107" s="5" t="n"/>
      <c r="AG107" s="5" t="n"/>
      <c r="AH107" s="5" t="n"/>
      <c r="AI107" s="5" t="inlineStr">
        <is>
          <t>Restaurante 100% sin gluten en Murcia.</t>
        </is>
      </c>
      <c r="AJ107" s="5" t="inlineStr">
        <is>
          <t>100% gluten-free restaurant in Murcia.</t>
        </is>
      </c>
      <c r="AK107" s="5" t="inlineStr">
        <is>
          <t>100% glutenfreies Restaurant in Murcia.</t>
        </is>
      </c>
      <c r="AL107" s="5" t="n"/>
      <c r="AM107" s="5" t="inlineStr">
        <is>
          <t>community_submission</t>
        </is>
      </c>
      <c r="AN107" s="5" t="inlineStr">
        <is>
          <t>Kommentar in celicidad.net (User-Bestätigung)</t>
        </is>
      </c>
      <c r="AO107" s="5" t="inlineStr">
        <is>
          <t>2026-04-25</t>
        </is>
      </c>
      <c r="AP107" s="5" t="inlineStr">
        <is>
          <t>2026-04-25</t>
        </is>
      </c>
    </row>
    <row r="108" ht="80.09999999999999" customHeight="1">
      <c r="A108" s="5" t="inlineStr">
        <is>
          <t>es_mc_002</t>
        </is>
      </c>
      <c r="B108" s="5" t="inlineStr">
        <is>
          <t>Bar de las Artes</t>
        </is>
      </c>
      <c r="C108" s="5" t="inlineStr">
        <is>
          <t>bar-de-las-artes-murcia</t>
        </is>
      </c>
      <c r="D108" s="5" t="inlineStr">
        <is>
          <t>ES</t>
        </is>
      </c>
      <c r="E108" s="5" t="inlineStr">
        <is>
          <t>ES-MC</t>
        </is>
      </c>
      <c r="F108" s="5" t="inlineStr">
        <is>
          <t>Región de Murcia</t>
        </is>
      </c>
      <c r="G108" s="5" t="inlineStr">
        <is>
          <t>Murcia</t>
        </is>
      </c>
      <c r="H108" s="5" t="inlineStr">
        <is>
          <t>Murcia</t>
        </is>
      </c>
      <c r="I108" s="5" t="n"/>
      <c r="J108" s="5" t="n"/>
      <c r="K108" s="5" t="n"/>
      <c r="L108" s="5" t="n">
        <v>37.934752</v>
      </c>
      <c r="M108" s="5" t="n">
        <v>-1.113103</v>
      </c>
      <c r="N108" s="5" t="inlineStr">
        <is>
          <t>bar_tapas</t>
        </is>
      </c>
      <c r="O108" s="5" t="inlineStr">
        <is>
          <t>espanola, tapas</t>
        </is>
      </c>
      <c r="P108" s="5" t="inlineStr">
        <is>
          <t>€€</t>
        </is>
      </c>
      <c r="Q108" s="5" t="inlineStr">
        <is>
          <t>lunch, dinner, snacks</t>
        </is>
      </c>
      <c r="R108" s="6" t="inlineStr">
        <is>
          <t>pending_verification</t>
        </is>
      </c>
      <c r="S108" s="5" t="n"/>
      <c r="T108" s="5" t="n"/>
      <c r="U108" s="5" t="n"/>
      <c r="V108" s="5" t="inlineStr">
        <is>
          <t>Celicidad-Kommentar bestätigt: '100% sin gluten' in Murcia. PRÜFEN: Adresse + aktueller Status.</t>
        </is>
      </c>
      <c r="W108" s="5" t="n"/>
      <c r="X108" s="5" t="b">
        <v>0</v>
      </c>
      <c r="Y108" s="5" t="b">
        <v>0</v>
      </c>
      <c r="Z108" s="5" t="n"/>
      <c r="AA108" s="5" t="n"/>
      <c r="AB108" s="5" t="n"/>
      <c r="AC108" s="5" t="n"/>
      <c r="AD108" s="5" t="n"/>
      <c r="AE108" s="5" t="n"/>
      <c r="AF108" s="5" t="n"/>
      <c r="AG108" s="5" t="n"/>
      <c r="AH108" s="5" t="n"/>
      <c r="AI108" s="5" t="inlineStr">
        <is>
          <t>Bar 100% sin gluten en Murcia.</t>
        </is>
      </c>
      <c r="AJ108" s="5" t="inlineStr">
        <is>
          <t>100% gluten-free bar in Murcia.</t>
        </is>
      </c>
      <c r="AK108" s="5" t="inlineStr">
        <is>
          <t>100% glutenfreie Bar in Murcia.</t>
        </is>
      </c>
      <c r="AL108" s="5" t="n"/>
      <c r="AM108" s="5" t="inlineStr">
        <is>
          <t>community_submission</t>
        </is>
      </c>
      <c r="AN108" s="5" t="inlineStr">
        <is>
          <t>Kommentar in celicidad.net</t>
        </is>
      </c>
      <c r="AO108" s="5" t="inlineStr">
        <is>
          <t>2026-04-25</t>
        </is>
      </c>
      <c r="AP108" s="5" t="inlineStr">
        <is>
          <t>2026-04-25</t>
        </is>
      </c>
    </row>
  </sheetData>
  <dataValidations count="6">
    <dataValidation sqref="R2:R1000" showDropDown="0" showInputMessage="0" showErrorMessage="0" allowBlank="1" errorTitle="Ungültiger Status" error="Bitte einen gültigen Status wählen." type="list">
      <formula1>"pending_verification,in_verification,verified,rejected,closed_permanently"</formula1>
    </dataValidation>
    <dataValidation sqref="X2:X1000 Y2:Y1000" showDropDown="0" showInputMessage="0" showErrorMessage="0" allowBlank="1" type="list">
      <formula1>"TRUE,FALSE"</formula1>
    </dataValidation>
    <dataValidation sqref="D2:D1000" showDropDown="0" showInputMessage="0" showErrorMessage="0" allowBlank="1" type="list">
      <formula1>"ES,PT,IT,FR,DE,AT,CH,GB,IE,NL,BE,DK,SE,NO,FI,PL,CZ"</formula1>
    </dataValidation>
    <dataValidation sqref="P2:P1000" showDropDown="0" showInputMessage="0" showErrorMessage="0" allowBlank="1" type="list">
      <formula1>"€,€€,€€€,€€€€"</formula1>
    </dataValidation>
    <dataValidation sqref="N2:N1000" showDropDown="0" showInputMessage="0" showErrorMessage="0" allowBlank="1" type="list">
      <formula1>"restaurant,cafe,bakery,pastry_shop,ice_cream,pizzeria,bar_tapas,fast_food,hotel_restaurant,food_truck,catering,brunch_place,burger_joint,asian_restaurant"</formula1>
    </dataValidation>
    <dataValidation sqref="E2:E1000" showDropDown="0" showInputMessage="0" showErrorMessage="0" allowBlank="1" type="list">
      <formula1>"ES-AN,ES-AR,ES-AS,ES-CN,ES-CB,ES-CL,ES-CM,ES-CT,ES-EX,ES-GA,ES-IB,ES-RI,ES-MD,ES-MC,ES-NC,ES-PV,ES-VC,ES-CE,ES-ML"</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10" defaultColWidth="9.140625" defaultRowHeight="15"/>
  <cols>
    <col width="14" customWidth="1" min="1" max="1"/>
    <col width="16" customWidth="1" min="2" max="2"/>
    <col width="32" customWidth="1" min="3" max="3"/>
    <col width="16" customWidth="1" min="4" max="4"/>
    <col width="60" customWidth="1" min="5" max="5"/>
    <col width="10" customWidth="1" min="6" max="6"/>
    <col width="14" customWidth="1" min="7" max="7"/>
    <col width="40" customWidth="1" min="8" max="8"/>
  </cols>
  <sheetData>
    <row r="1" ht="32.1" customHeight="1">
      <c r="A1" s="3" t="inlineStr">
        <is>
          <t>id</t>
        </is>
      </c>
      <c r="B1" s="3" t="inlineStr">
        <is>
          <t>restaurant_id</t>
        </is>
      </c>
      <c r="C1" s="3" t="inlineStr">
        <is>
          <t>restaurant_name</t>
        </is>
      </c>
      <c r="D1" s="3" t="inlineStr">
        <is>
          <t>platform</t>
        </is>
      </c>
      <c r="E1" s="3" t="inlineStr">
        <is>
          <t>url</t>
        </is>
      </c>
      <c r="F1" s="3" t="inlineStr">
        <is>
          <t>is_active</t>
        </is>
      </c>
      <c r="G1" s="3" t="inlineStr">
        <is>
          <t>last_checked</t>
        </is>
      </c>
      <c r="H1" s="3" t="inlineStr">
        <is>
          <t>notes</t>
        </is>
      </c>
    </row>
    <row r="2" ht="51" customHeight="1">
      <c r="A2" s="5" t="inlineStr">
        <is>
          <t>dlv_001</t>
        </is>
      </c>
      <c r="B2" s="5" t="inlineStr">
        <is>
          <t>es_md_001</t>
        </is>
      </c>
      <c r="C2" s="5" t="inlineStr">
        <is>
          <t>As de Bastos</t>
        </is>
      </c>
      <c r="D2" s="5" t="inlineStr">
        <is>
          <t>glovo</t>
        </is>
      </c>
      <c r="E2" s="5" t="inlineStr">
        <is>
          <t>https://glovoapp.com/es/search?query=As%20de%20Bastos%20Madrid</t>
        </is>
      </c>
      <c r="F2" s="5" t="b">
        <v>1</v>
      </c>
      <c r="G2" s="5" t="inlineStr">
        <is>
          <t>2026-04-25</t>
        </is>
      </c>
      <c r="H2" s="5" t="inlineStr">
        <is>
          <t>ACSG-Verzeichnis nennt 'A domicilio' — Glovo wahrscheinlich. URL bei Bestellung beim Restaurant erfragen oder über Glovo-App suchen.</t>
        </is>
      </c>
    </row>
    <row r="3" ht="25.5" customHeight="1">
      <c r="A3" s="5" t="inlineStr">
        <is>
          <t>dlv_002</t>
        </is>
      </c>
      <c r="B3" s="5" t="inlineStr">
        <is>
          <t>es_md_002</t>
        </is>
      </c>
      <c r="C3" s="5" t="inlineStr">
        <is>
          <t>As de Bastos Majadahonda</t>
        </is>
      </c>
      <c r="D3" s="5" t="inlineStr">
        <is>
          <t>glovo</t>
        </is>
      </c>
      <c r="E3" s="5" t="inlineStr">
        <is>
          <t>https://glovoapp.com/es/search?query=As%20de%20Bastos%20Majadahonda%20Majadahonda</t>
        </is>
      </c>
      <c r="F3" s="5" t="b">
        <v>1</v>
      </c>
      <c r="G3" s="5" t="inlineStr">
        <is>
          <t>2026-04-25</t>
        </is>
      </c>
      <c r="H3" s="5" t="inlineStr">
        <is>
          <t>ACSG: 'A domicilio'. URL prüfen über Glovo-App oder Restaurant-Webseite.</t>
        </is>
      </c>
    </row>
    <row r="4" ht="25.5" customHeight="1">
      <c r="A4" s="5" t="inlineStr">
        <is>
          <t>dlv_003</t>
        </is>
      </c>
      <c r="B4" s="5" t="inlineStr">
        <is>
          <t>es_md_006</t>
        </is>
      </c>
      <c r="C4" s="5" t="inlineStr">
        <is>
          <t>Pizza Natura (Chamberí)</t>
        </is>
      </c>
      <c r="D4" s="5" t="inlineStr">
        <is>
          <t>glovo</t>
        </is>
      </c>
      <c r="E4" s="5" t="inlineStr">
        <is>
          <t>https://glovoapp.com/es/search?query=Pizza%20Natura%20%28Chamber%C3%AD%29%20Madrid</t>
        </is>
      </c>
      <c r="F4" s="5" t="b">
        <v>1</v>
      </c>
      <c r="G4" s="5" t="inlineStr">
        <is>
          <t>2026-04-25</t>
        </is>
      </c>
      <c r="H4" s="5" t="inlineStr">
        <is>
          <t>Time Out Madrid erwähnt Lieferung. Konkrete Glovo-URL prüfen.</t>
        </is>
      </c>
    </row>
    <row r="5" ht="25.5" customHeight="1">
      <c r="A5" s="5" t="inlineStr">
        <is>
          <t>dlv_004</t>
        </is>
      </c>
      <c r="B5" s="5" t="inlineStr">
        <is>
          <t>es_md_006</t>
        </is>
      </c>
      <c r="C5" s="5" t="inlineStr">
        <is>
          <t>Pizza Natura (Chamberí)</t>
        </is>
      </c>
      <c r="D5" s="5" t="inlineStr">
        <is>
          <t>uber_eats</t>
        </is>
      </c>
      <c r="E5" s="5" t="inlineStr">
        <is>
          <t>https://www.ubereats.com/es/search?q=Pizza%20Natura%20%28Chamber%C3%AD%29%20Madrid</t>
        </is>
      </c>
      <c r="F5" s="5" t="b">
        <v>1</v>
      </c>
      <c r="G5" s="5" t="inlineStr">
        <is>
          <t>2026-04-25</t>
        </is>
      </c>
      <c r="H5" s="5" t="inlineStr">
        <is>
          <t>Möglicherweise auch über Uber Eats — prüfen.</t>
        </is>
      </c>
    </row>
    <row r="6">
      <c r="A6" s="5" t="inlineStr">
        <is>
          <t>dlv_005</t>
        </is>
      </c>
      <c r="B6" s="5" t="inlineStr">
        <is>
          <t>es_md_009</t>
        </is>
      </c>
      <c r="C6" s="5" t="inlineStr">
        <is>
          <t>Celicioso Huertas</t>
        </is>
      </c>
      <c r="D6" s="5" t="inlineStr">
        <is>
          <t>own_delivery</t>
        </is>
      </c>
      <c r="E6" s="5" t="inlineStr">
        <is>
          <t>https://celicioso.shop</t>
        </is>
      </c>
      <c r="F6" s="5" t="b">
        <v>1</v>
      </c>
      <c r="G6" s="5" t="inlineStr">
        <is>
          <t>2026-04-25</t>
        </is>
      </c>
      <c r="H6" s="5" t="inlineStr">
        <is>
          <t>Eigene Webseite/Shop für Lieferung.</t>
        </is>
      </c>
    </row>
    <row r="7">
      <c r="A7" s="5" t="inlineStr">
        <is>
          <t>dlv_006</t>
        </is>
      </c>
      <c r="B7" s="5" t="inlineStr">
        <is>
          <t>es_md_010</t>
        </is>
      </c>
      <c r="C7" s="5" t="inlineStr">
        <is>
          <t>Celicioso Barquillo</t>
        </is>
      </c>
      <c r="D7" s="5" t="inlineStr">
        <is>
          <t>own_delivery</t>
        </is>
      </c>
      <c r="E7" s="5" t="inlineStr">
        <is>
          <t>https://celicioso.shop</t>
        </is>
      </c>
      <c r="F7" s="5" t="b">
        <v>1</v>
      </c>
      <c r="G7" s="5" t="inlineStr">
        <is>
          <t>2026-04-25</t>
        </is>
      </c>
      <c r="H7" s="5" t="inlineStr">
        <is>
          <t>Eigene Webseite/Shop für Lieferung.</t>
        </is>
      </c>
    </row>
    <row r="8" ht="38.25" customHeight="1">
      <c r="A8" s="5" t="inlineStr">
        <is>
          <t>dlv_007</t>
        </is>
      </c>
      <c r="B8" s="5" t="inlineStr">
        <is>
          <t>es_pv_004</t>
        </is>
      </c>
      <c r="C8" s="5" t="inlineStr">
        <is>
          <t>New York Diner Bilbao</t>
        </is>
      </c>
      <c r="D8" s="5" t="inlineStr">
        <is>
          <t>own_delivery</t>
        </is>
      </c>
      <c r="E8" s="5" t="n"/>
      <c r="F8" s="5" t="b">
        <v>1</v>
      </c>
      <c r="G8" s="5" t="inlineStr">
        <is>
          <t>2026-04-25</t>
        </is>
      </c>
      <c r="H8" s="5" t="inlineStr">
        <is>
          <t>Celiaquita: 'puedes hacer pedido desde su web, de comida sin gluten a domicilio'. Eigene Webseite-Lieferung.</t>
        </is>
      </c>
    </row>
    <row r="9" ht="25.5" customHeight="1">
      <c r="A9" s="5" t="inlineStr">
        <is>
          <t>dlv_008</t>
        </is>
      </c>
      <c r="B9" s="5" t="inlineStr">
        <is>
          <t>es_ga_001</t>
        </is>
      </c>
      <c r="C9" s="5" t="inlineStr">
        <is>
          <t>Alium Vigo</t>
        </is>
      </c>
      <c r="D9" s="5" t="inlineStr">
        <is>
          <t>own_delivery</t>
        </is>
      </c>
      <c r="E9" s="5" t="inlineStr">
        <is>
          <t>https://aliumglutenfree.com</t>
        </is>
      </c>
      <c r="F9" s="5" t="b">
        <v>1</v>
      </c>
      <c r="G9" s="5" t="inlineStr">
        <is>
          <t>2026-04-25</t>
        </is>
      </c>
      <c r="H9" s="5" t="inlineStr">
        <is>
          <t>Eigene Lieferung 4€ via WhatsApp +34697883367.</t>
        </is>
      </c>
    </row>
    <row r="10" ht="25.5" customHeight="1">
      <c r="A10" s="5" t="inlineStr">
        <is>
          <t>dlv_009</t>
        </is>
      </c>
      <c r="B10" s="5" t="inlineStr">
        <is>
          <t>es_vc_001</t>
        </is>
      </c>
      <c r="C10" s="5" t="inlineStr">
        <is>
          <t>El Miracle</t>
        </is>
      </c>
      <c r="D10" s="5" t="inlineStr">
        <is>
          <t>own_delivery</t>
        </is>
      </c>
      <c r="E10" s="5" t="inlineStr">
        <is>
          <t>https://miraclerestaurante.es</t>
        </is>
      </c>
      <c r="F10" s="5" t="b">
        <v>1</v>
      </c>
      <c r="G10" s="5" t="inlineStr">
        <is>
          <t>2026-04-25</t>
        </is>
      </c>
      <c r="H10" s="5" t="inlineStr">
        <is>
          <t>Eigene Tienda über Webseite. Lieferung über eigene Webseite.</t>
        </is>
      </c>
    </row>
    <row r="11" ht="38.25" customHeight="1">
      <c r="A11" s="5" t="inlineStr">
        <is>
          <t>dlv_010</t>
        </is>
      </c>
      <c r="B11" s="5" t="inlineStr">
        <is>
          <t>es_an_004</t>
        </is>
      </c>
      <c r="C11" s="5" t="inlineStr">
        <is>
          <t>Grosso Senza Glutine Sevilla</t>
        </is>
      </c>
      <c r="D11" s="5" t="inlineStr">
        <is>
          <t>glovo</t>
        </is>
      </c>
      <c r="E11" s="5" t="inlineStr">
        <is>
          <t>https://glovoapp.com/es/search?query=Grosso%20Senza%20Glutine%20Sevilla%20Sevilla</t>
        </is>
      </c>
      <c r="F11" s="5" t="b">
        <v>1</v>
      </c>
      <c r="G11" s="5" t="inlineStr">
        <is>
          <t>2026-04-25</t>
        </is>
      </c>
      <c r="H11" s="5" t="inlineStr">
        <is>
          <t>Celiaquita: 'servicio take away y delivery a través de Glovo'. URL über Glovo-App suchen mit Postleitzahl 41002 + Begriff 'Grosso'.</t>
        </is>
      </c>
    </row>
    <row r="12" ht="38.25" customHeight="1">
      <c r="A12" s="5" t="inlineStr">
        <is>
          <t>dlv_011</t>
        </is>
      </c>
      <c r="B12" s="5" t="inlineStr">
        <is>
          <t>es_ib_001</t>
        </is>
      </c>
      <c r="C12" s="5" t="inlineStr">
        <is>
          <t>Avocado Mallorca</t>
        </is>
      </c>
      <c r="D12" s="5" t="inlineStr">
        <is>
          <t>own_delivery</t>
        </is>
      </c>
      <c r="E12" s="5" t="inlineStr">
        <is>
          <t>https://www.avocadomallorca.com</t>
        </is>
      </c>
      <c r="F12" s="5" t="b">
        <v>1</v>
      </c>
      <c r="G12" s="5" t="inlineStr">
        <is>
          <t>2026-04-25</t>
        </is>
      </c>
      <c r="H12" s="5" t="inlineStr">
        <is>
          <t>Webseiten-Beschreibung: 'empresa de comida sana y fresca con un servicio de delivery sano y sin gluten en Palma'. Eigene Lieferung.</t>
        </is>
      </c>
    </row>
    <row r="13">
      <c r="A13" s="5" t="inlineStr">
        <is>
          <t>dlv_012</t>
        </is>
      </c>
      <c r="B13" s="5" t="inlineStr">
        <is>
          <t>es_md_017</t>
        </is>
      </c>
      <c r="C13" s="5" t="inlineStr">
        <is>
          <t>Alter Café</t>
        </is>
      </c>
      <c r="D13" s="5" t="inlineStr">
        <is>
          <t>no_delivery</t>
        </is>
      </c>
      <c r="E13" s="5" t="n"/>
      <c r="F13" s="5" t="b">
        <v>0</v>
      </c>
      <c r="G13" s="5" t="inlineStr">
        <is>
          <t>2026-04-25</t>
        </is>
      </c>
      <c r="H13" s="5" t="inlineStr">
        <is>
          <t>Klein, vermutlich kein Lieferservice. PRÜFEN.</t>
        </is>
      </c>
    </row>
  </sheetData>
  <dataValidations count="2">
    <dataValidation sqref="D2:D1000" showDropDown="0" showInputMessage="0" showErrorMessage="0" allowBlank="1" type="list">
      <formula1>"glovo,just_eat,uber_eats,wolt,lieferando,foodora,deliveroo,takeaway,bolt_food,own_delivery,no_delivery"</formula1>
    </dataValidation>
    <dataValidation sqref="F2:F1000"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10" defaultColWidth="9.140625" defaultRowHeight="15"/>
  <cols>
    <col width="14" customWidth="1" min="1" max="1"/>
    <col width="16" customWidth="1" min="2" max="2"/>
    <col width="32" customWidth="1" min="3" max="3"/>
    <col width="18" customWidth="1" min="4" max="4"/>
    <col width="60" customWidth="1" min="5" max="5"/>
    <col width="10" customWidth="1" min="6" max="6"/>
    <col width="14" customWidth="1" min="7" max="7"/>
    <col width="40" customWidth="1" min="8" max="8"/>
  </cols>
  <sheetData>
    <row r="1" ht="32.1" customHeight="1">
      <c r="A1" s="3" t="inlineStr">
        <is>
          <t>id</t>
        </is>
      </c>
      <c r="B1" s="3" t="inlineStr">
        <is>
          <t>restaurant_id</t>
        </is>
      </c>
      <c r="C1" s="3" t="inlineStr">
        <is>
          <t>restaurant_name</t>
        </is>
      </c>
      <c r="D1" s="3" t="inlineStr">
        <is>
          <t>platform</t>
        </is>
      </c>
      <c r="E1" s="3" t="inlineStr">
        <is>
          <t>url</t>
        </is>
      </c>
      <c r="F1" s="3" t="inlineStr">
        <is>
          <t>is_active</t>
        </is>
      </c>
      <c r="G1" s="3" t="inlineStr">
        <is>
          <t>last_checked</t>
        </is>
      </c>
      <c r="H1" s="3" t="inlineStr">
        <is>
          <t>notes</t>
        </is>
      </c>
    </row>
    <row r="2" ht="25.5" customHeight="1">
      <c r="A2" s="5" t="inlineStr">
        <is>
          <t>rsv_001</t>
        </is>
      </c>
      <c r="B2" s="5" t="inlineStr">
        <is>
          <t>es_vc_001</t>
        </is>
      </c>
      <c r="C2" s="5" t="inlineStr">
        <is>
          <t>El Miracle</t>
        </is>
      </c>
      <c r="D2" s="5" t="inlineStr">
        <is>
          <t>own_website</t>
        </is>
      </c>
      <c r="E2" s="5" t="inlineStr">
        <is>
          <t>https://miraclerestaurante.es</t>
        </is>
      </c>
      <c r="F2" s="5" t="b">
        <v>1</v>
      </c>
      <c r="G2" s="5" t="inlineStr">
        <is>
          <t>2026-04-25</t>
        </is>
      </c>
      <c r="H2" s="5" t="inlineStr">
        <is>
          <t>Eigene Reservierungsseite — bevorzugter Kanal lt. Quellen.</t>
        </is>
      </c>
    </row>
    <row r="3" ht="38.25" customHeight="1">
      <c r="A3" s="5" t="inlineStr">
        <is>
          <t>rsv_002</t>
        </is>
      </c>
      <c r="B3" s="5" t="inlineStr">
        <is>
          <t>es_ib_001</t>
        </is>
      </c>
      <c r="C3" s="5" t="inlineStr">
        <is>
          <t>Avocado Mallorca</t>
        </is>
      </c>
      <c r="D3" s="5" t="inlineStr">
        <is>
          <t>own_website</t>
        </is>
      </c>
      <c r="E3" s="5" t="inlineStr">
        <is>
          <t>https://www.avocadomallorca.com</t>
        </is>
      </c>
      <c r="F3" s="5" t="b">
        <v>1</v>
      </c>
      <c r="G3" s="5" t="inlineStr">
        <is>
          <t>2026-04-25</t>
        </is>
      </c>
      <c r="H3" s="5" t="inlineStr">
        <is>
          <t>Reservierung via restaurantlogin.com System (verlinkt von Facebook-Seite). PRÜFEN: konkrete URL.</t>
        </is>
      </c>
    </row>
    <row r="4" ht="38.25" customHeight="1">
      <c r="A4" s="5" t="inlineStr">
        <is>
          <t>rsv_003</t>
        </is>
      </c>
      <c r="B4" s="5" t="inlineStr">
        <is>
          <t>es_ib_002</t>
        </is>
      </c>
      <c r="C4" s="5" t="inlineStr">
        <is>
          <t>Bolixe</t>
        </is>
      </c>
      <c r="D4" s="5" t="inlineStr">
        <is>
          <t>own_website</t>
        </is>
      </c>
      <c r="E4" s="5" t="inlineStr">
        <is>
          <t>https://www.bolixe.com</t>
        </is>
      </c>
      <c r="F4" s="5" t="b">
        <v>1</v>
      </c>
      <c r="G4" s="5" t="inlineStr">
        <is>
          <t>2026-04-25</t>
        </is>
      </c>
      <c r="H4" s="5" t="inlineStr">
        <is>
          <t>Reservierung über reservas@bolixe.com (lt. ACSG-Verzeichnis) oder Telefon +34871949447.</t>
        </is>
      </c>
    </row>
    <row r="5" ht="25.5" customHeight="1">
      <c r="A5" s="5" t="inlineStr">
        <is>
          <t>rsv_004</t>
        </is>
      </c>
      <c r="B5" s="5" t="inlineStr">
        <is>
          <t>es_md_001</t>
        </is>
      </c>
      <c r="C5" s="5" t="inlineStr">
        <is>
          <t>As de Bastos</t>
        </is>
      </c>
      <c r="D5" s="5" t="inlineStr">
        <is>
          <t>thefork</t>
        </is>
      </c>
      <c r="E5" s="5" t="inlineStr">
        <is>
          <t>https://www.thefork.es/restaurant/as-de-bastos-madrid</t>
        </is>
      </c>
      <c r="F5" s="5" t="b">
        <v>1</v>
      </c>
      <c r="G5" s="5" t="inlineStr">
        <is>
          <t>2026-04-25</t>
        </is>
      </c>
      <c r="H5" s="5" t="inlineStr">
        <is>
          <t>PRÜFEN: thefork-URL über thefork.es suchen mit Name + Madrid.</t>
        </is>
      </c>
    </row>
    <row r="6">
      <c r="A6" s="5" t="inlineStr">
        <is>
          <t>rsv_005</t>
        </is>
      </c>
      <c r="B6" s="5" t="inlineStr">
        <is>
          <t>es_md_001</t>
        </is>
      </c>
      <c r="C6" s="5" t="inlineStr">
        <is>
          <t>As de Bastos</t>
        </is>
      </c>
      <c r="D6" s="5" t="inlineStr">
        <is>
          <t>phone_only</t>
        </is>
      </c>
      <c r="E6" s="5" t="n"/>
      <c r="F6" s="5" t="b">
        <v>1</v>
      </c>
      <c r="G6" s="5" t="inlineStr">
        <is>
          <t>2026-04-25</t>
        </is>
      </c>
      <c r="H6" s="5" t="inlineStr">
        <is>
          <t>Telefonisch +34917957855.</t>
        </is>
      </c>
    </row>
    <row r="7" ht="38.25" customHeight="1">
      <c r="A7" s="5" t="inlineStr">
        <is>
          <t>rsv_006</t>
        </is>
      </c>
      <c r="B7" s="5" t="inlineStr">
        <is>
          <t>es_md_005</t>
        </is>
      </c>
      <c r="C7" s="5" t="inlineStr">
        <is>
          <t>Okashi Sanda</t>
        </is>
      </c>
      <c r="D7" s="5" t="inlineStr">
        <is>
          <t>thefork</t>
        </is>
      </c>
      <c r="E7" s="5" t="inlineStr">
        <is>
          <t>https://www.thefork.es/restaurant/okashi-sanda-madrid</t>
        </is>
      </c>
      <c r="F7" s="5" t="b">
        <v>1</v>
      </c>
      <c r="G7" s="5" t="inlineStr">
        <is>
          <t>2026-04-25</t>
        </is>
      </c>
      <c r="H7" s="5" t="inlineStr">
        <is>
          <t>TheFork erwähnt es nicht explizit, aber als populäres Lokal in Madrid sehr wahrscheinlich gelistet. PRÜFEN.</t>
        </is>
      </c>
    </row>
    <row r="8" ht="25.5" customHeight="1">
      <c r="A8" s="5" t="inlineStr">
        <is>
          <t>rsv_007</t>
        </is>
      </c>
      <c r="B8" s="5" t="inlineStr">
        <is>
          <t>es_ct_001</t>
        </is>
      </c>
      <c r="C8" s="5" t="inlineStr">
        <is>
          <t>En Ville Restaurant</t>
        </is>
      </c>
      <c r="D8" s="5" t="inlineStr">
        <is>
          <t>own_website</t>
        </is>
      </c>
      <c r="E8" s="5" t="inlineStr">
        <is>
          <t>https://www.envillebarcelona.es</t>
        </is>
      </c>
      <c r="F8" s="5" t="b">
        <v>1</v>
      </c>
      <c r="G8" s="5" t="inlineStr">
        <is>
          <t>2026-04-25</t>
        </is>
      </c>
      <c r="H8" s="5" t="inlineStr">
        <is>
          <t>Reservierung über eigene Webseite ('Make your reservation' lt. Webseite).</t>
        </is>
      </c>
    </row>
    <row r="9" ht="25.5" customHeight="1">
      <c r="A9" s="5" t="inlineStr">
        <is>
          <t>rsv_008</t>
        </is>
      </c>
      <c r="B9" s="5" t="inlineStr">
        <is>
          <t>es_ga_001</t>
        </is>
      </c>
      <c r="C9" s="5" t="inlineStr">
        <is>
          <t>Alium Vigo</t>
        </is>
      </c>
      <c r="D9" s="5" t="inlineStr">
        <is>
          <t>phone_only</t>
        </is>
      </c>
      <c r="E9" s="5" t="n"/>
      <c r="F9" s="5" t="b">
        <v>1</v>
      </c>
      <c r="G9" s="5" t="inlineStr">
        <is>
          <t>2026-04-25</t>
        </is>
      </c>
      <c r="H9" s="5" t="inlineStr">
        <is>
          <t>Telefon/WhatsApp +34697883367. Eigene Webseite empfiehlt direkten Kontakt.</t>
        </is>
      </c>
    </row>
    <row r="10" ht="25.5" customHeight="1">
      <c r="A10" s="5" t="inlineStr">
        <is>
          <t>rsv_009</t>
        </is>
      </c>
      <c r="B10" s="5" t="inlineStr">
        <is>
          <t>es_as_001</t>
        </is>
      </c>
      <c r="C10" s="5" t="inlineStr">
        <is>
          <t>El Fartuquín</t>
        </is>
      </c>
      <c r="D10" s="5" t="inlineStr">
        <is>
          <t>own_website</t>
        </is>
      </c>
      <c r="E10" s="5" t="inlineStr">
        <is>
          <t>https://www.restauranteelfartuquin.es</t>
        </is>
      </c>
      <c r="F10" s="5" t="b">
        <v>1</v>
      </c>
      <c r="G10" s="5" t="inlineStr">
        <is>
          <t>2026-04-25</t>
        </is>
      </c>
      <c r="H10" s="5" t="inlineStr">
        <is>
          <t>Reservierung über eigene Webseite oder Telefon +34985229971.</t>
        </is>
      </c>
    </row>
    <row r="11">
      <c r="A11" s="5" t="inlineStr">
        <is>
          <t>rsv_010</t>
        </is>
      </c>
      <c r="B11" s="5" t="inlineStr">
        <is>
          <t>es_as_002</t>
        </is>
      </c>
      <c r="C11" s="5" t="inlineStr">
        <is>
          <t>El Bucanero</t>
        </is>
      </c>
      <c r="D11" s="5" t="inlineStr">
        <is>
          <t>own_website</t>
        </is>
      </c>
      <c r="E11" s="5" t="inlineStr">
        <is>
          <t>https://elbucanero.es</t>
        </is>
      </c>
      <c r="F11" s="5" t="b">
        <v>1</v>
      </c>
      <c r="G11" s="5" t="inlineStr">
        <is>
          <t>2026-04-25</t>
        </is>
      </c>
      <c r="H11" s="5" t="inlineStr">
        <is>
          <t>Reservierung über eigene Webseite.</t>
        </is>
      </c>
    </row>
    <row r="12" ht="25.5" customHeight="1">
      <c r="A12" s="5" t="inlineStr">
        <is>
          <t>rsv_011</t>
        </is>
      </c>
      <c r="B12" s="5" t="inlineStr">
        <is>
          <t>es_as_003</t>
        </is>
      </c>
      <c r="C12" s="5" t="inlineStr">
        <is>
          <t>Sidra Quelo</t>
        </is>
      </c>
      <c r="D12" s="5" t="inlineStr">
        <is>
          <t>own_website</t>
        </is>
      </c>
      <c r="E12" s="5" t="inlineStr">
        <is>
          <t>https://sidraquelo.com</t>
        </is>
      </c>
      <c r="F12" s="5" t="b">
        <v>1</v>
      </c>
      <c r="G12" s="5" t="inlineStr">
        <is>
          <t>2026-04-25</t>
        </is>
      </c>
      <c r="H12" s="5" t="inlineStr">
        <is>
          <t>Reservierung über eigene Webseite oder Telefon +34985792932.</t>
        </is>
      </c>
    </row>
    <row r="13">
      <c r="A13" s="5" t="inlineStr">
        <is>
          <t>rsv_012</t>
        </is>
      </c>
      <c r="B13" s="5" t="inlineStr">
        <is>
          <t>es_md_009</t>
        </is>
      </c>
      <c r="C13" s="5" t="inlineStr">
        <is>
          <t>Celicioso Huertas</t>
        </is>
      </c>
      <c r="D13" s="5" t="inlineStr">
        <is>
          <t>phone_only</t>
        </is>
      </c>
      <c r="E13" s="5" t="n"/>
      <c r="F13" s="5" t="b">
        <v>1</v>
      </c>
      <c r="G13" s="5" t="inlineStr">
        <is>
          <t>2026-04-25</t>
        </is>
      </c>
      <c r="H13" s="5" t="inlineStr">
        <is>
          <t>Telefon +34697828235.</t>
        </is>
      </c>
    </row>
    <row r="14">
      <c r="A14" s="5" t="inlineStr">
        <is>
          <t>rsv_013</t>
        </is>
      </c>
      <c r="B14" s="5" t="inlineStr">
        <is>
          <t>es_md_008</t>
        </is>
      </c>
      <c r="C14" s="5" t="inlineStr">
        <is>
          <t>Ardemos Burger</t>
        </is>
      </c>
      <c r="D14" s="5" t="inlineStr">
        <is>
          <t>phone_only</t>
        </is>
      </c>
      <c r="E14" s="5" t="n"/>
      <c r="F14" s="5" t="b">
        <v>1</v>
      </c>
      <c r="G14" s="5" t="inlineStr">
        <is>
          <t>2026-04-25</t>
        </is>
      </c>
      <c r="H14" s="5" t="inlineStr">
        <is>
          <t>Telefon +34914916030.</t>
        </is>
      </c>
    </row>
    <row r="15">
      <c r="A15" s="5" t="inlineStr">
        <is>
          <t>rsv_014</t>
        </is>
      </c>
      <c r="B15" s="5" t="inlineStr">
        <is>
          <t>es_md_015</t>
        </is>
      </c>
      <c r="C15" s="5" t="inlineStr">
        <is>
          <t>Los Carnales</t>
        </is>
      </c>
      <c r="D15" s="5" t="inlineStr">
        <is>
          <t>thefork</t>
        </is>
      </c>
      <c r="E15" s="5" t="inlineStr">
        <is>
          <t>https://www.thefork.es/restaurant/los-carnales-madrid</t>
        </is>
      </c>
      <c r="F15" s="5" t="b">
        <v>1</v>
      </c>
      <c r="G15" s="5" t="inlineStr">
        <is>
          <t>2026-04-25</t>
        </is>
      </c>
      <c r="H15" s="5" t="inlineStr">
        <is>
          <t>PRÜFEN: thefork-Listung.</t>
        </is>
      </c>
    </row>
    <row r="16" ht="25.5" customHeight="1">
      <c r="A16" s="5" t="inlineStr">
        <is>
          <t>rsv_015</t>
        </is>
      </c>
      <c r="B16" s="5" t="inlineStr">
        <is>
          <t>es_ct_002</t>
        </is>
      </c>
      <c r="C16" s="5" t="inlineStr">
        <is>
          <t>Messié Sin Gluten</t>
        </is>
      </c>
      <c r="D16" s="5" t="inlineStr">
        <is>
          <t>thefork</t>
        </is>
      </c>
      <c r="E16" s="5" t="inlineStr">
        <is>
          <t>https://www.thefork.es/restaurant/messie-sin-gluten-barcelona</t>
        </is>
      </c>
      <c r="F16" s="5" t="b">
        <v>1</v>
      </c>
      <c r="G16" s="5" t="inlineStr">
        <is>
          <t>2026-04-25</t>
        </is>
      </c>
      <c r="H16" s="5" t="inlineStr">
        <is>
          <t>TheFork hat sehr wahrscheinlich Eintrag — populärer Treffpunkt. PRÜFEN.</t>
        </is>
      </c>
    </row>
  </sheetData>
  <dataValidations count="2">
    <dataValidation sqref="D2:D1000" showDropDown="0" showInputMessage="0" showErrorMessage="0" allowBlank="1" type="list">
      <formula1>"thefork,opentable,quandoo,booking_restaurants,own_website,phone_only,walk_in_only,instagram_dm"</formula1>
    </dataValidation>
    <dataValidation sqref="F2:F1000"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10" defaultColWidth="9.140625" defaultRowHeight="15"/>
  <cols>
    <col width="14" customWidth="1" min="1" max="2"/>
    <col width="26" customWidth="1" min="3" max="3"/>
    <col width="20" customWidth="1" min="4" max="4"/>
    <col width="30" customWidth="1" min="5" max="5"/>
    <col width="18" customWidth="1" min="6" max="6"/>
    <col width="12" customWidth="1" min="7" max="7"/>
    <col width="40" customWidth="1" min="8" max="8"/>
    <col width="30" customWidth="1" min="9" max="9"/>
    <col width="18" customWidth="1" min="10" max="10"/>
    <col width="40" customWidth="1" min="11" max="11"/>
    <col width="18" customWidth="1" min="12" max="13"/>
    <col width="30" customWidth="1" min="14" max="15"/>
    <col width="18" customWidth="1" min="16" max="16"/>
  </cols>
  <sheetData>
    <row r="1" ht="32.1" customHeight="1">
      <c r="A1" s="3" t="inlineStr">
        <is>
          <t>id</t>
        </is>
      </c>
      <c r="B1" s="3" t="inlineStr">
        <is>
          <t>submitted_at</t>
        </is>
      </c>
      <c r="C1" s="3" t="inlineStr">
        <is>
          <t>submitted_by_email</t>
        </is>
      </c>
      <c r="D1" s="3" t="inlineStr">
        <is>
          <t>submitted_by_name</t>
        </is>
      </c>
      <c r="E1" s="3" t="inlineStr">
        <is>
          <t>restaurant_name</t>
        </is>
      </c>
      <c r="F1" s="3" t="inlineStr">
        <is>
          <t>city</t>
        </is>
      </c>
      <c r="G1" s="3" t="inlineStr">
        <is>
          <t>country_code</t>
        </is>
      </c>
      <c r="H1" s="3" t="inlineStr">
        <is>
          <t>address</t>
        </is>
      </c>
      <c r="I1" s="3" t="inlineStr">
        <is>
          <t>website</t>
        </is>
      </c>
      <c r="J1" s="3" t="inlineStr">
        <is>
          <t>phone</t>
        </is>
      </c>
      <c r="K1" s="3" t="inlineStr">
        <is>
          <t>submission_notes</t>
        </is>
      </c>
      <c r="L1" s="3" t="inlineStr">
        <is>
          <t>submission_status</t>
        </is>
      </c>
      <c r="M1" s="3" t="inlineStr">
        <is>
          <t>verification_assigned_to</t>
        </is>
      </c>
      <c r="N1" s="3" t="inlineStr">
        <is>
          <t>verification_outcome</t>
        </is>
      </c>
      <c r="O1" s="3" t="inlineStr">
        <is>
          <t>rejection_reason</t>
        </is>
      </c>
      <c r="P1" s="3" t="inlineStr">
        <is>
          <t>promoted_to_restaurant_id</t>
        </is>
      </c>
    </row>
  </sheetData>
  <dataValidations count="1">
    <dataValidation sqref="L2:L1000" showDropDown="0" showInputMessage="0" showErrorMessage="0" allowBlank="1" type="list">
      <formula1>"pending,in_verification,approved,rejected"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tabSelected="1" workbookViewId="0">
      <selection activeCell="A1" sqref="A1"/>
    </sheetView>
  </sheetViews>
  <sheetFormatPr baseColWidth="10" defaultColWidth="9.140625" defaultRowHeight="15"/>
  <cols>
    <col width="40" customWidth="1" min="1" max="1"/>
    <col width="15" customWidth="1" min="2" max="2"/>
  </cols>
  <sheetData>
    <row r="1" ht="18" customHeight="1">
      <c r="A1" s="7" t="inlineStr">
        <is>
          <t>Statistik (automatisch aktualisiert)</t>
        </is>
      </c>
    </row>
    <row r="3">
      <c r="A3" s="8" t="inlineStr">
        <is>
          <t>Gesamtzahl Einträge</t>
        </is>
      </c>
      <c r="B3" s="8">
        <f>COUNTA(restaurants!A:A)-1</f>
        <v/>
      </c>
    </row>
    <row r="4">
      <c r="A4" s="8" t="inlineStr">
        <is>
          <t>Davon pending_verification</t>
        </is>
      </c>
      <c r="B4" s="8">
        <f>COUNTIF(restaurants!R:R,"pending_verification")</f>
        <v/>
      </c>
    </row>
    <row r="5">
      <c r="A5" s="8" t="inlineStr">
        <is>
          <t>Davon in_verification</t>
        </is>
      </c>
      <c r="B5" s="8">
        <f>COUNTIF(restaurants!R:R,"in_verification")</f>
        <v/>
      </c>
    </row>
    <row r="6">
      <c r="A6" s="8" t="inlineStr">
        <is>
          <t>Davon verified</t>
        </is>
      </c>
      <c r="B6" s="8">
        <f>COUNTIF(restaurants!R:R,"verified")</f>
        <v/>
      </c>
    </row>
    <row r="7">
      <c r="A7" s="8" t="inlineStr">
        <is>
          <t>Davon rejected</t>
        </is>
      </c>
      <c r="B7" s="8">
        <f>COUNTIF(restaurants!R:R,"rejected")</f>
        <v/>
      </c>
    </row>
    <row r="8">
      <c r="A8" s="9" t="n"/>
    </row>
    <row r="9">
      <c r="A9" s="9" t="inlineStr">
        <is>
          <t>Verteilung nach Region</t>
        </is>
      </c>
    </row>
    <row r="10">
      <c r="A10" s="8" t="inlineStr">
        <is>
          <t>ES-IB (Balearen)</t>
        </is>
      </c>
      <c r="B10" s="8">
        <f>COUNTIF(restaurants!E:E,"ES-IB")</f>
        <v/>
      </c>
    </row>
    <row r="11">
      <c r="A11" s="8" t="inlineStr">
        <is>
          <t>ES-MD (Madrid)</t>
        </is>
      </c>
      <c r="B11" s="8">
        <f>COUNTIF(restaurants!E:E,"ES-MD")</f>
        <v/>
      </c>
    </row>
    <row r="12">
      <c r="A12" s="8" t="inlineStr">
        <is>
          <t>ES-CT (Cataluña)</t>
        </is>
      </c>
      <c r="B12" s="8">
        <f>COUNTIF(restaurants!E:E,"ES-CT")</f>
        <v/>
      </c>
    </row>
    <row r="13">
      <c r="A13" s="8" t="inlineStr">
        <is>
          <t>ES-VC (Valencia)</t>
        </is>
      </c>
      <c r="B13" s="8">
        <f>COUNTIF(restaurants!E:E,"ES-VC")</f>
        <v/>
      </c>
    </row>
    <row r="14">
      <c r="A14" s="8" t="inlineStr">
        <is>
          <t>ES-AN (Andalucía)</t>
        </is>
      </c>
      <c r="B14" s="8">
        <f>COUNTIF(restaurants!E:E,"ES-AN")</f>
        <v/>
      </c>
    </row>
    <row r="15">
      <c r="A15" s="8" t="inlineStr">
        <is>
          <t>ES-PV (País Vasco)</t>
        </is>
      </c>
      <c r="B15" s="8">
        <f>COUNTIF(restaurants!E:E,"ES-PV")</f>
        <v/>
      </c>
    </row>
    <row r="16">
      <c r="A16" s="8" t="inlineStr">
        <is>
          <t>ES-GA (Galicia)</t>
        </is>
      </c>
      <c r="B16" s="8">
        <f>COUNTIF(restaurants!E:E,"ES-GA")</f>
        <v/>
      </c>
    </row>
    <row r="17">
      <c r="A17" s="9" t="n"/>
    </row>
    <row r="18">
      <c r="A18" s="8" t="inlineStr">
        <is>
          <t>FACE-zertifiziert</t>
        </is>
      </c>
      <c r="B18" s="8">
        <f>COUNTIF(restaurants!X:X,TRUE)</f>
        <v/>
      </c>
    </row>
    <row r="19">
      <c r="A19" s="8" t="inlineStr">
        <is>
          <t>AOECS-zertifiziert</t>
        </is>
      </c>
      <c r="B19" s="8">
        <f>COUNTIF(restaurants!Y:Y,TRUE)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2026-04-25T13:07:31Z</dcterms:created>
  <dcterms:modified xsi:type="dcterms:W3CDTF">2026-06-03T16:12:15Z</dcterms:modified>
  <cp:lastModifiedBy>Stephan Arnold</cp:lastModifiedBy>
</cp:coreProperties>
</file>